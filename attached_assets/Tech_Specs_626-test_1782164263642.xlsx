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346A6049-D6E7-4376-9163-83C945990C1B}" xr6:coauthVersionLast="47" xr6:coauthVersionMax="47" xr10:uidLastSave="{00000000-0000-0000-0000-000000000000}"/>
  <bookViews>
    <workbookView xWindow="-108" yWindow="-108" windowWidth="30936" windowHeight="18936" activeTab="2" xr2:uid="{00000000-000D-0000-FFFF-FFFF00000000}"/>
  </bookViews>
  <sheets>
    <sheet name="1. Tire List - Web Menu" sheetId="2" r:id="rId1"/>
    <sheet name="2. Master Tire Specs  " sheetId="1" r:id="rId2"/>
    <sheet name="3.Tire Cont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94" i="3" l="1" a="1"/>
  <c r="B1794" i="3" s="1"/>
  <c r="B1762" i="3" a="1"/>
  <c r="B1762" i="3" s="1"/>
  <c r="B1729" i="3" a="1"/>
  <c r="B1729" i="3" s="1"/>
  <c r="B1697" i="3" a="1"/>
  <c r="B1697" i="3" s="1"/>
  <c r="B1664" i="3" a="1"/>
  <c r="B1664" i="3" s="1"/>
  <c r="B1632" i="3" a="1"/>
  <c r="B1632" i="3" s="1"/>
  <c r="B1600" i="3" a="1"/>
  <c r="B1600" i="3" s="1"/>
  <c r="B1567" i="3" a="1"/>
  <c r="B1567" i="3" s="1"/>
  <c r="B1535" i="3" a="1"/>
  <c r="B1535" i="3" s="1"/>
  <c r="B1502" i="3" a="1"/>
  <c r="B1502" i="3" s="1"/>
  <c r="B1470" i="3" a="1"/>
  <c r="B1470" i="3" s="1"/>
  <c r="B1438" i="3" a="1"/>
  <c r="B1438" i="3" s="1"/>
  <c r="B1405" i="3" a="1"/>
  <c r="B1405" i="3" s="1"/>
  <c r="B1373" i="3" a="1"/>
  <c r="B1373" i="3" s="1"/>
  <c r="B1340" i="3" a="1"/>
  <c r="B1340" i="3" s="1"/>
  <c r="B1308" i="3" a="1"/>
  <c r="B1308" i="3" s="1"/>
  <c r="B1276" i="3" a="1"/>
  <c r="B1276" i="3" s="1"/>
  <c r="B1243" i="3" a="1"/>
  <c r="B1243" i="3" s="1"/>
  <c r="B1211" i="3" a="1"/>
  <c r="B1211" i="3" s="1"/>
  <c r="B1178" i="3" a="1"/>
  <c r="B1178" i="3" s="1"/>
  <c r="B1145" i="3" a="1"/>
  <c r="B1145" i="3" s="1"/>
  <c r="B1113" i="3" a="1"/>
  <c r="B1113" i="3" s="1"/>
  <c r="B1080" i="3" a="1"/>
  <c r="B1080" i="3" s="1"/>
  <c r="B1048" i="3" a="1"/>
  <c r="B1048" i="3" s="1"/>
  <c r="B1015" i="3" a="1"/>
  <c r="B1015" i="3" s="1"/>
  <c r="B982" i="3" a="1"/>
  <c r="B982" i="3" s="1"/>
  <c r="B950" i="3" a="1"/>
  <c r="B950" i="3" s="1"/>
  <c r="B917" i="3" a="1"/>
  <c r="B917" i="3" s="1"/>
  <c r="B885" i="3" a="1"/>
  <c r="B885" i="3" s="1"/>
  <c r="B852" i="3" a="1"/>
  <c r="B852" i="3" s="1"/>
  <c r="B819" i="3" a="1"/>
  <c r="B819" i="3" s="1"/>
  <c r="B787" i="3" a="1"/>
  <c r="B787" i="3" s="1"/>
  <c r="B754" i="3" a="1"/>
  <c r="B754" i="3" s="1"/>
  <c r="B722" i="3" a="1"/>
  <c r="B722" i="3" s="1"/>
  <c r="B689" i="3" a="1"/>
  <c r="B689" i="3" s="1"/>
  <c r="B657" i="3" a="1"/>
  <c r="B657" i="3" s="1"/>
  <c r="B625" i="3" a="1"/>
  <c r="B625" i="3" s="1"/>
  <c r="B592" i="3" a="1"/>
  <c r="B592" i="3" s="1"/>
  <c r="B560" i="3"/>
  <c r="B560" i="3" a="1"/>
  <c r="B527" i="3" a="1"/>
  <c r="B527" i="3" s="1"/>
  <c r="B494" i="3" a="1"/>
  <c r="B494" i="3" s="1"/>
  <c r="B462" i="3" a="1"/>
  <c r="B462" i="3" s="1"/>
  <c r="B429" i="3" a="1"/>
  <c r="B429" i="3" s="1"/>
  <c r="B397" i="3" a="1"/>
  <c r="B397" i="3" s="1"/>
  <c r="B364" i="3" a="1"/>
  <c r="B364" i="3" s="1"/>
  <c r="B331" i="3" a="1"/>
  <c r="B331" i="3" s="1"/>
  <c r="B299" i="3" a="1"/>
  <c r="B299" i="3" s="1"/>
  <c r="B266" i="3" a="1"/>
  <c r="B266" i="3" s="1"/>
  <c r="B234" i="3" a="1"/>
  <c r="B234" i="3" s="1"/>
  <c r="B201" i="3" a="1"/>
  <c r="B201" i="3" s="1"/>
  <c r="B169" i="3" a="1"/>
  <c r="B169" i="3" s="1"/>
  <c r="B104" i="3" a="1"/>
  <c r="B104" i="3" s="1"/>
  <c r="B137" i="3" a="1"/>
  <c r="B137" i="3" s="1"/>
  <c r="B2" i="3"/>
  <c r="B72" i="3" a="1"/>
  <c r="B72" i="3" s="1"/>
  <c r="B39" i="3" a="1"/>
  <c r="B39" i="3" s="1"/>
  <c r="B5" i="3" a="1"/>
  <c r="B5"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<sst xmlns="http://schemas.openxmlformats.org/spreadsheetml/2006/main" count="2743" uniqueCount="273">
  <si>
    <t>Size</t>
  </si>
  <si>
    <t>LI/SS</t>
  </si>
  <si>
    <t>M+S</t>
  </si>
  <si>
    <t>3PMSF</t>
  </si>
  <si>
    <t>Pattern BC</t>
  </si>
  <si>
    <t>mm</t>
  </si>
  <si>
    <t xml:space="preserve"> 32nds</t>
  </si>
  <si>
    <t>lbs</t>
  </si>
  <si>
    <t>psi</t>
  </si>
  <si>
    <t>kg</t>
  </si>
  <si>
    <t>kPa</t>
  </si>
  <si>
    <t>11R22.5</t>
  </si>
  <si>
    <t>ADC52</t>
  </si>
  <si>
    <t>146/143K</t>
  </si>
  <si>
    <t>13R22.5</t>
  </si>
  <si>
    <t>154/151K</t>
  </si>
  <si>
    <t>315/80R22.5</t>
  </si>
  <si>
    <t>157/154K</t>
  </si>
  <si>
    <t>11.00R20</t>
  </si>
  <si>
    <t>ADC53</t>
  </si>
  <si>
    <t>152/149K</t>
  </si>
  <si>
    <t>146/143L</t>
  </si>
  <si>
    <t>11R24.5</t>
  </si>
  <si>
    <t>149/146L</t>
  </si>
  <si>
    <t>12.00R20</t>
  </si>
  <si>
    <t>12.00R24</t>
  </si>
  <si>
    <t>160/157K</t>
  </si>
  <si>
    <t>12R22.5</t>
  </si>
  <si>
    <t>152/149L</t>
  </si>
  <si>
    <t>275/70R22.5</t>
  </si>
  <si>
    <t>148/145L</t>
  </si>
  <si>
    <t>154/151M</t>
  </si>
  <si>
    <t>157/154M</t>
  </si>
  <si>
    <t>ADL58</t>
  </si>
  <si>
    <t>ADL58-ECO</t>
  </si>
  <si>
    <t>12R24.5</t>
  </si>
  <si>
    <t>ADR24</t>
  </si>
  <si>
    <t>10.00R20</t>
  </si>
  <si>
    <t>ADR26</t>
  </si>
  <si>
    <t>149/146K</t>
  </si>
  <si>
    <t>148/144M</t>
  </si>
  <si>
    <t>158/155J</t>
  </si>
  <si>
    <t>9.00R20</t>
  </si>
  <si>
    <t>144/142M</t>
  </si>
  <si>
    <t>205/75R17.5</t>
  </si>
  <si>
    <t>ADR35</t>
  </si>
  <si>
    <t>124/122M</t>
  </si>
  <si>
    <t>215/75R17.5</t>
  </si>
  <si>
    <t>135/133J</t>
  </si>
  <si>
    <t>235/75R17.5</t>
  </si>
  <si>
    <t>143/141J</t>
  </si>
  <si>
    <t>245/70R17.5</t>
  </si>
  <si>
    <t>136/134M</t>
  </si>
  <si>
    <t>10R22.5</t>
  </si>
  <si>
    <t>ADR55</t>
  </si>
  <si>
    <t>152/149M</t>
  </si>
  <si>
    <t>255/70R22.5</t>
  </si>
  <si>
    <t>140/137M</t>
  </si>
  <si>
    <t>148/145M</t>
  </si>
  <si>
    <t>ADR57</t>
  </si>
  <si>
    <t>146/143M</t>
  </si>
  <si>
    <t>149/146M</t>
  </si>
  <si>
    <t>315/70R22.5</t>
  </si>
  <si>
    <t>ADR69</t>
  </si>
  <si>
    <t>152/148M</t>
  </si>
  <si>
    <t>ADR78</t>
  </si>
  <si>
    <t>245/70R19.5</t>
  </si>
  <si>
    <t>144/142J</t>
  </si>
  <si>
    <t>ADW80</t>
  </si>
  <si>
    <t>ADW81</t>
  </si>
  <si>
    <t>225/70R19.5</t>
  </si>
  <si>
    <t>ADW82</t>
  </si>
  <si>
    <t>128/126M</t>
  </si>
  <si>
    <t>AGC08</t>
  </si>
  <si>
    <t>150/147K</t>
  </si>
  <si>
    <t>156/153K</t>
  </si>
  <si>
    <t>154/151L</t>
  </si>
  <si>
    <t>161/154K</t>
  </si>
  <si>
    <t>160/157L</t>
  </si>
  <si>
    <t>144/142K</t>
  </si>
  <si>
    <t>AGC28</t>
  </si>
  <si>
    <t>385/65R22.5</t>
  </si>
  <si>
    <t>164K</t>
  </si>
  <si>
    <t>425/65R22.5</t>
  </si>
  <si>
    <t>165K</t>
  </si>
  <si>
    <t>445/65R22.5</t>
  </si>
  <si>
    <t>169K</t>
  </si>
  <si>
    <t>AGC51</t>
  </si>
  <si>
    <t>157/154L</t>
  </si>
  <si>
    <t>AGM10</t>
  </si>
  <si>
    <t>149/146F</t>
  </si>
  <si>
    <t>ML</t>
  </si>
  <si>
    <t>146/143G</t>
  </si>
  <si>
    <t>156/153F</t>
  </si>
  <si>
    <t>160/157F</t>
  </si>
  <si>
    <t>152/149G</t>
  </si>
  <si>
    <t>154/151G</t>
  </si>
  <si>
    <t>AGM84</t>
  </si>
  <si>
    <t>149/146G</t>
  </si>
  <si>
    <t>AGR26</t>
  </si>
  <si>
    <t>295/60R22.5</t>
  </si>
  <si>
    <t>ASL01</t>
  </si>
  <si>
    <t>156/150L</t>
  </si>
  <si>
    <t>ASL01T</t>
  </si>
  <si>
    <t>ASL06</t>
  </si>
  <si>
    <t>144/142L</t>
  </si>
  <si>
    <t>305/75R24.5</t>
  </si>
  <si>
    <t>ASL38</t>
  </si>
  <si>
    <t>ASL67</t>
  </si>
  <si>
    <t>ASL67-ECO</t>
  </si>
  <si>
    <t>10.00R15</t>
  </si>
  <si>
    <t>ASR30</t>
  </si>
  <si>
    <t>148/145K</t>
  </si>
  <si>
    <t>8.25R15</t>
  </si>
  <si>
    <t>137/136K</t>
  </si>
  <si>
    <t>ASR35</t>
  </si>
  <si>
    <t>ASR65</t>
  </si>
  <si>
    <t>ASR69</t>
  </si>
  <si>
    <t>ASR79</t>
  </si>
  <si>
    <t>275/80R22.5</t>
  </si>
  <si>
    <t>285/75R24.5</t>
  </si>
  <si>
    <t>ATL08</t>
  </si>
  <si>
    <t>144/141M</t>
  </si>
  <si>
    <t>385/55R19.5</t>
  </si>
  <si>
    <t>ATR65</t>
  </si>
  <si>
    <t>156J</t>
  </si>
  <si>
    <t>160K</t>
  </si>
  <si>
    <t>AR D</t>
  </si>
  <si>
    <t>126/124M</t>
  </si>
  <si>
    <t>225/75R17.5</t>
  </si>
  <si>
    <t>129/127M</t>
  </si>
  <si>
    <t>225/80R17.5</t>
  </si>
  <si>
    <t>123/122L</t>
  </si>
  <si>
    <t>132/130M</t>
  </si>
  <si>
    <t>151/148J</t>
  </si>
  <si>
    <t>285/70R19.5</t>
  </si>
  <si>
    <t>146/144L</t>
  </si>
  <si>
    <t>295/80R22.5</t>
  </si>
  <si>
    <t>AR D+</t>
  </si>
  <si>
    <t xml:space="preserve">150/147K </t>
  </si>
  <si>
    <t>315/60R22.5</t>
  </si>
  <si>
    <t>152/148L</t>
  </si>
  <si>
    <t>154/150L</t>
  </si>
  <si>
    <t>AR D3</t>
  </si>
  <si>
    <t>AR S</t>
  </si>
  <si>
    <t>129/127L</t>
  </si>
  <si>
    <t>158/150L</t>
  </si>
  <si>
    <t>158/150K</t>
  </si>
  <si>
    <t>AR S+</t>
  </si>
  <si>
    <t>136/134J</t>
  </si>
  <si>
    <t>AR T2</t>
  </si>
  <si>
    <t>150/148J</t>
  </si>
  <si>
    <t>AR T3</t>
  </si>
  <si>
    <t>AS D</t>
  </si>
  <si>
    <t>CON D</t>
  </si>
  <si>
    <t>156/150K</t>
  </si>
  <si>
    <t>CON G</t>
  </si>
  <si>
    <t xml:space="preserve">156/150K </t>
  </si>
  <si>
    <t>FUEL D2</t>
  </si>
  <si>
    <t>445/50R22.5</t>
  </si>
  <si>
    <t>161L</t>
  </si>
  <si>
    <t>295/75R22.5</t>
  </si>
  <si>
    <t>FUEL D3</t>
  </si>
  <si>
    <t>FUEL G3</t>
  </si>
  <si>
    <t>FUEL S</t>
  </si>
  <si>
    <t>154/148L</t>
  </si>
  <si>
    <t>FUEL S+</t>
  </si>
  <si>
    <t>435/50R19.5</t>
  </si>
  <si>
    <t>160J</t>
  </si>
  <si>
    <t>FUEL T+</t>
  </si>
  <si>
    <t>FUEL T2</t>
  </si>
  <si>
    <t>FUEL T3</t>
  </si>
  <si>
    <t>148/145J</t>
  </si>
  <si>
    <t>ICEDRIVE</t>
  </si>
  <si>
    <t>146/143J</t>
  </si>
  <si>
    <t>URB D</t>
  </si>
  <si>
    <t>URB G</t>
  </si>
  <si>
    <t>305/70R22.5</t>
  </si>
  <si>
    <t>152/150L</t>
  </si>
  <si>
    <t>WIN D</t>
  </si>
  <si>
    <t>WIN S</t>
  </si>
  <si>
    <t>•</t>
  </si>
  <si>
    <t>18PR</t>
  </si>
  <si>
    <t>154/149M</t>
  </si>
  <si>
    <t>Neo Icedrive</t>
  </si>
  <si>
    <t>Neo Allroads D</t>
  </si>
  <si>
    <t>Neo Allroads D+</t>
  </si>
  <si>
    <t>Neo Allroads D3</t>
  </si>
  <si>
    <t>Neo Allroads S</t>
  </si>
  <si>
    <t>Neo Allroads S+</t>
  </si>
  <si>
    <t>Neo Allroads T2</t>
  </si>
  <si>
    <t>Neo Allroads T3</t>
  </si>
  <si>
    <t>Neo Allseason D</t>
  </si>
  <si>
    <t>Neo Construct G</t>
  </si>
  <si>
    <t>Neo Fuel D2</t>
  </si>
  <si>
    <t>Neo Fuel D3</t>
  </si>
  <si>
    <t>Neo Fuel G3</t>
  </si>
  <si>
    <t>Neo Fuel S</t>
  </si>
  <si>
    <t>Neo Fuel S+</t>
  </si>
  <si>
    <t>Neo Fuel T+</t>
  </si>
  <si>
    <t>Neo Fuel T2</t>
  </si>
  <si>
    <t>Neo Fuel T3</t>
  </si>
  <si>
    <t>Neo Urban D</t>
  </si>
  <si>
    <t>Neo Urban G</t>
  </si>
  <si>
    <t>Neo Winter D</t>
  </si>
  <si>
    <t>Neo Winter S</t>
  </si>
  <si>
    <t>Notes:</t>
  </si>
  <si>
    <t>NEO SERIES LONG HAUL</t>
  </si>
  <si>
    <t>NEO FUEL D</t>
  </si>
  <si>
    <t>NEO FUEL D2</t>
  </si>
  <si>
    <t>NEO FUEL D3</t>
  </si>
  <si>
    <t>Sailor ASR79</t>
  </si>
  <si>
    <t>Sailor ADR78/ADR78 ii</t>
  </si>
  <si>
    <t>NEO SERIES ON/OFF ROAD</t>
  </si>
  <si>
    <t>Neo Construct D</t>
  </si>
  <si>
    <t xml:space="preserve">NEO SERIES WINTER </t>
  </si>
  <si>
    <t>NEO SERIES URBAN</t>
  </si>
  <si>
    <t>Sailor AGB23</t>
  </si>
  <si>
    <t>STANDARD SERIES LONG HAUL</t>
  </si>
  <si>
    <t xml:space="preserve">ADL58 </t>
  </si>
  <si>
    <t>STANDARD SERIES REGIONAL</t>
  </si>
  <si>
    <t>STANDARD SERIES ON/OFF ROAD</t>
  </si>
  <si>
    <t>ADC54</t>
  </si>
  <si>
    <t>AGC53</t>
  </si>
  <si>
    <t>STANDARD SERIES WINTER</t>
  </si>
  <si>
    <t>NEO/SAILOR SERIES REGIONAL</t>
  </si>
  <si>
    <t>Complete List of Tires:</t>
  </si>
  <si>
    <t>Tires Organized by Segment: (this will be the "Tires" drop down on the main website navBar)</t>
  </si>
  <si>
    <t>Smartway</t>
  </si>
  <si>
    <t>Ply</t>
  </si>
  <si>
    <t>Tire Name</t>
  </si>
  <si>
    <t>Rim 
Width</t>
  </si>
  <si>
    <t>Section  
Width</t>
  </si>
  <si>
    <t>Overall 
Diameter</t>
  </si>
  <si>
    <t>Tread 
Depth</t>
  </si>
  <si>
    <t>Max. Load 
(Single)</t>
  </si>
  <si>
    <t>Max. Load 
(Dual)</t>
  </si>
  <si>
    <t>in</t>
  </si>
  <si>
    <t>Premium Long Haul</t>
  </si>
  <si>
    <t>subtitle</t>
  </si>
  <si>
    <t>Engineered for long-distance journeys ensuring high-speed stability, fuel efficiency, and endurance mile after mile.</t>
  </si>
  <si>
    <t>4 longitudinal grooves on the tread providing excellent guiding performance.</t>
  </si>
  <si>
    <t>Optimized ground pressure distribution to ensure product life.</t>
  </si>
  <si>
    <t>SATT construction for better endurance, effectively securing tire life.</t>
  </si>
  <si>
    <t>Low rolling resistance formula in tread to maximize fuel efficiency.</t>
  </si>
  <si>
    <t>Segment/Category</t>
  </si>
  <si>
    <t>OPTIMIZED Z-SHAPED GROOVE DESIGN</t>
  </si>
  <si>
    <t>Z-shaped straight grooves with optimized geometry and higher pattern saturation ensure even wear and higher mileage, delivering long-lasting tread life and consistent performance on long-haul routes.</t>
  </si>
  <si>
    <t>CLOSED SHOULDER STRUCTURE</t>
  </si>
  <si>
    <t>A reinforced closed shoulder design enhances heat dissipation and traction while maintaining even wear performance—improving handling stability and extending tire durability.</t>
  </si>
  <si>
    <t>ADVANCED 3D SIPE TECHNOLOGY</t>
  </si>
  <si>
    <t>New 3D sipe solutions in the central and shoulder tread blocks enable better block movement, enhancing snow grip and traction while providing regular wear, lower rolling resistance, reduced noise, and improved control in both dry and wet conditions.</t>
  </si>
  <si>
    <t>bgTruck</t>
  </si>
  <si>
    <t>Neo-Fuel-G3-f1</t>
  </si>
  <si>
    <t>Neo-Fuel-G3-f2</t>
  </si>
  <si>
    <t>Neo-Fuel-G3-f3</t>
  </si>
  <si>
    <t>hero-1</t>
  </si>
  <si>
    <t>bg-long-haul-1</t>
  </si>
  <si>
    <t>Tire hero image</t>
  </si>
  <si>
    <t>Feature image 1</t>
  </si>
  <si>
    <t>Feature title 1</t>
  </si>
  <si>
    <t>Feature body 1</t>
  </si>
  <si>
    <t>Feature title 2</t>
  </si>
  <si>
    <t>Feature body 2</t>
  </si>
  <si>
    <t>Feature image 2</t>
  </si>
  <si>
    <t>Feature title 3</t>
  </si>
  <si>
    <t>Feature body 3</t>
  </si>
  <si>
    <t>Feature image 3</t>
  </si>
  <si>
    <t>Bullet points</t>
  </si>
  <si>
    <t>pos</t>
  </si>
  <si>
    <t>pos-steer-tire</t>
  </si>
  <si>
    <t>Sailor ASR79II</t>
  </si>
  <si>
    <t>(get from 2. Master Tire Specs, Col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</si>
</sst>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00_ "/>
    <numFmt numFmtId="166" formatCode="0_ "/>
  </numFmts>
  <fonts count="11"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sz val="11"/>
      <name val="Calibri"/>
      <family val="2"/>
      <scheme val="minor"/>
    </font>
    <font>
      <sz val="8"/>
      <name val="Calibri"/>
      <family val="2"/>
      <scheme val="minor"/>
    </font>
    <font>
      <sz val="10"/>
      <name val="Calibri"/>
      <family val="2"/>
      <scheme val="minor"/>
    </font>
    <font>
      <b/>
      <sz val="11"/>
      <color theme="1"/>
      <name val="Calibri"/>
      <family val="2"/>
      <scheme val="minor"/>
    </font>
    <font>
      <sz val="11"/>
      <color theme="4" tint="-0.499984740745262"/>
      <name val="Calibri"/>
      <family val="2"/>
      <scheme val="minor"/>
    </font>
    <font>
      <b/>
      <sz val="11"/>
      <color theme="4" tint="-0.499984740745262"/>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FF00"/>
        <bgColor indexed="64"/>
      </patternFill>
    </fill>
  </fills>
  <borders count="5">
    <border>
      <left/>
      <right/>
      <top/>
      <bottom/>
      <diagonal/>
    </border>
    <border>
      <left/>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
      <left/>
      <right/>
      <top style="thin">
        <color indexed="64"/>
      </top>
      <bottom/>
      <diagonal/>
    </border>
  </borders>
  <cellStyleXfs count="2">
    <xf numFmtId="0" fontId="0" fillId="0" borderId="0"/>
    <xf numFmtId="0" fontId="2" fillId="0" borderId="2">
      <alignment horizontal="center" vertical="center"/>
    </xf>
  </cellStyleXfs>
  <cellXfs count="45">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4" fillId="0" borderId="1" xfId="0" applyFont="1" applyBorder="1" applyAlignment="1">
      <alignment horizontal="right" vertical="center"/>
    </xf>
    <xf numFmtId="0" fontId="4" fillId="2" borderId="1" xfId="0" applyFont="1" applyFill="1" applyBorder="1" applyAlignment="1">
      <alignment horizontal="right" vertical="center"/>
    </xf>
    <xf numFmtId="0" fontId="4" fillId="0" borderId="0" xfId="0" applyFont="1" applyAlignment="1">
      <alignment horizontal="right"/>
    </xf>
    <xf numFmtId="0" fontId="3" fillId="3" borderId="0" xfId="0" applyFont="1" applyFill="1" applyAlignment="1">
      <alignment horizontal="center" vertical="center"/>
    </xf>
    <xf numFmtId="0" fontId="3" fillId="3" borderId="0" xfId="0" applyFont="1" applyFill="1" applyAlignment="1">
      <alignment horizontal="left" vertical="center" indent="1"/>
    </xf>
    <xf numFmtId="0" fontId="3" fillId="3" borderId="0" xfId="0" applyFont="1" applyFill="1" applyAlignment="1">
      <alignment horizontal="right" vertical="center"/>
    </xf>
    <xf numFmtId="0" fontId="5" fillId="4" borderId="0" xfId="0" applyFont="1" applyFill="1" applyAlignment="1">
      <alignment horizontal="left" vertical="center" indent="1"/>
    </xf>
    <xf numFmtId="0" fontId="5" fillId="4" borderId="0" xfId="0" applyFont="1" applyFill="1" applyAlignment="1">
      <alignment horizontal="right"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8" fillId="0" borderId="0" xfId="0" applyFont="1" applyAlignment="1">
      <alignment horizontal="left" indent="1"/>
    </xf>
    <xf numFmtId="0" fontId="3" fillId="3" borderId="0" xfId="0" applyFont="1" applyFill="1" applyAlignment="1">
      <alignment horizontal="left" vertical="center"/>
    </xf>
    <xf numFmtId="0" fontId="5" fillId="4" borderId="0" xfId="0" applyFont="1" applyFill="1" applyAlignment="1">
      <alignment horizontal="left" vertical="center"/>
    </xf>
    <xf numFmtId="2" fontId="3" fillId="3" borderId="0" xfId="0" applyNumberFormat="1" applyFont="1" applyFill="1" applyAlignment="1">
      <alignment horizontal="left" vertical="center"/>
    </xf>
    <xf numFmtId="164" fontId="3" fillId="3" borderId="0" xfId="0" applyNumberFormat="1" applyFont="1" applyFill="1" applyAlignment="1">
      <alignment horizontal="left" vertical="center"/>
    </xf>
    <xf numFmtId="166" fontId="3" fillId="3" borderId="0" xfId="0" applyNumberFormat="1" applyFont="1" applyFill="1" applyAlignment="1">
      <alignment horizontal="left"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6"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6"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5" fillId="4" borderId="3" xfId="0" applyFont="1" applyFill="1" applyBorder="1" applyAlignment="1">
      <alignment horizontal="left" vertical="center"/>
    </xf>
    <xf numFmtId="2" fontId="5" fillId="4" borderId="3" xfId="0" applyNumberFormat="1" applyFont="1" applyFill="1" applyBorder="1" applyAlignment="1">
      <alignment horizontal="left" vertical="center" wrapText="1"/>
    </xf>
    <xf numFmtId="164" fontId="5" fillId="4" borderId="3" xfId="0" applyNumberFormat="1" applyFont="1" applyFill="1" applyBorder="1" applyAlignment="1">
      <alignment horizontal="left" vertical="center" wrapText="1"/>
    </xf>
    <xf numFmtId="0" fontId="3" fillId="2" borderId="1" xfId="1" applyFont="1" applyFill="1" applyBorder="1">
      <alignment horizontal="center" vertical="center"/>
    </xf>
    <xf numFmtId="0" fontId="3" fillId="0" borderId="0" xfId="0" applyFont="1" applyAlignment="1">
      <alignment horizontal="center"/>
    </xf>
    <xf numFmtId="165"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xf>
    <xf numFmtId="0" fontId="8" fillId="0" borderId="4" xfId="0" applyFont="1" applyBorder="1" applyAlignment="1">
      <alignment horizontal="left"/>
    </xf>
    <xf numFmtId="0" fontId="0" fillId="0" borderId="4" xfId="0" applyBorder="1"/>
    <xf numFmtId="0" fontId="9" fillId="0" borderId="0" xfId="0" applyFont="1" applyAlignment="1">
      <alignment horizontal="right" indent="2"/>
    </xf>
    <xf numFmtId="0" fontId="0" fillId="5" borderId="0" xfId="0" applyFill="1"/>
    <xf numFmtId="0" fontId="10" fillId="0" borderId="4" xfId="0" applyFont="1" applyBorder="1" applyAlignment="1">
      <alignment horizontal="right" indent="2"/>
    </xf>
  </cellXfs>
  <cellStyles count="2">
    <cellStyle name="Normal" xfId="0" builtinId="0"/>
    <cellStyle name="样式 2" xfId="1" xr:uid="{DA941F92-78D3-44B4-85CC-E5F970497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9E3768-B219-4D6D-B19F-78E5C55B8EF9}">
  <we:reference id="wa200011056" version="1.0.0.2" store="en-US" storeType="OMEX"/>
  <we:alternateReferences>
    <we:reference id="WA200011056" version="1.0.0.2" store="" storeType="OMEX"/>
  </we:alternateReferences>
  <we:properties>
    <we:property name="grokConversationBinding" value="{&quot;responseId&quot;:&quot;b1cc295b-52b1-9fa6-876f-960dcdbc0267&quot;,&quot;title&quot;:null}"/>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3E06-D34C-4872-BB9E-DC2721839750}">
  <dimension ref="B1:E55"/>
  <sheetViews>
    <sheetView showGridLines="0" zoomScale="85" zoomScaleNormal="85" workbookViewId="0">
      <selection activeCell="D49" sqref="D49"/>
    </sheetView>
  </sheetViews>
  <sheetFormatPr defaultColWidth="15.44140625" defaultRowHeight="14.4" x14ac:dyDescent="0.3"/>
  <cols>
    <col min="1" max="1" width="4.33203125" style="1" customWidth="1"/>
    <col min="2" max="2" width="21.5546875" style="1" bestFit="1" customWidth="1"/>
    <col min="3" max="3" width="15.44140625" style="1"/>
    <col min="4" max="6" width="30.6640625" style="1" customWidth="1"/>
    <col min="7" max="10" width="23.6640625" style="1" customWidth="1"/>
    <col min="11" max="16384" width="15.44140625" style="1"/>
  </cols>
  <sheetData>
    <row r="1" spans="2:5" s="6" customFormat="1" x14ac:dyDescent="0.3">
      <c r="B1" s="6" t="s">
        <v>226</v>
      </c>
      <c r="D1" s="6" t="s">
        <v>227</v>
      </c>
    </row>
    <row r="2" spans="2:5" s="6" customFormat="1" x14ac:dyDescent="0.3"/>
    <row r="3" spans="2:5" x14ac:dyDescent="0.3">
      <c r="B3" s="1" t="s">
        <v>12</v>
      </c>
      <c r="D3" s="17" t="s">
        <v>207</v>
      </c>
      <c r="E3" s="17" t="s">
        <v>218</v>
      </c>
    </row>
    <row r="4" spans="2:5" x14ac:dyDescent="0.3">
      <c r="B4" s="1" t="s">
        <v>19</v>
      </c>
      <c r="D4" s="1" t="s">
        <v>197</v>
      </c>
      <c r="E4" s="1" t="s">
        <v>104</v>
      </c>
    </row>
    <row r="5" spans="2:5" x14ac:dyDescent="0.3">
      <c r="B5" s="1" t="s">
        <v>33</v>
      </c>
      <c r="D5" s="1" t="s">
        <v>208</v>
      </c>
      <c r="E5" s="1" t="s">
        <v>219</v>
      </c>
    </row>
    <row r="6" spans="2:5" x14ac:dyDescent="0.3">
      <c r="B6" s="1" t="s">
        <v>36</v>
      </c>
      <c r="D6" s="1" t="s">
        <v>209</v>
      </c>
      <c r="E6" s="1" t="s">
        <v>121</v>
      </c>
    </row>
    <row r="7" spans="2:5" x14ac:dyDescent="0.3">
      <c r="B7" s="1" t="s">
        <v>38</v>
      </c>
      <c r="D7" s="1" t="s">
        <v>210</v>
      </c>
    </row>
    <row r="8" spans="2:5" x14ac:dyDescent="0.3">
      <c r="B8" s="1" t="s">
        <v>45</v>
      </c>
      <c r="D8" s="1" t="s">
        <v>199</v>
      </c>
      <c r="E8" s="17" t="s">
        <v>220</v>
      </c>
    </row>
    <row r="9" spans="2:5" x14ac:dyDescent="0.3">
      <c r="B9" s="1" t="s">
        <v>54</v>
      </c>
      <c r="D9" s="1" t="s">
        <v>200</v>
      </c>
      <c r="E9" s="1" t="s">
        <v>111</v>
      </c>
    </row>
    <row r="10" spans="2:5" x14ac:dyDescent="0.3">
      <c r="B10" s="1" t="s">
        <v>59</v>
      </c>
      <c r="D10" s="1" t="s">
        <v>201</v>
      </c>
      <c r="E10" s="1" t="s">
        <v>115</v>
      </c>
    </row>
    <row r="11" spans="2:5" x14ac:dyDescent="0.3">
      <c r="B11" s="1" t="s">
        <v>63</v>
      </c>
      <c r="D11" s="1" t="s">
        <v>196</v>
      </c>
      <c r="E11" s="1" t="s">
        <v>117</v>
      </c>
    </row>
    <row r="12" spans="2:5" x14ac:dyDescent="0.3">
      <c r="B12" s="1" t="s">
        <v>65</v>
      </c>
      <c r="E12" s="1" t="s">
        <v>36</v>
      </c>
    </row>
    <row r="13" spans="2:5" x14ac:dyDescent="0.3">
      <c r="B13" s="1" t="s">
        <v>68</v>
      </c>
      <c r="D13" s="17" t="s">
        <v>225</v>
      </c>
      <c r="E13" s="1" t="s">
        <v>38</v>
      </c>
    </row>
    <row r="14" spans="2:5" x14ac:dyDescent="0.3">
      <c r="B14" s="1" t="s">
        <v>69</v>
      </c>
      <c r="D14" s="1" t="s">
        <v>188</v>
      </c>
      <c r="E14" s="1" t="s">
        <v>45</v>
      </c>
    </row>
    <row r="15" spans="2:5" x14ac:dyDescent="0.3">
      <c r="B15" s="1" t="s">
        <v>71</v>
      </c>
      <c r="D15" s="1" t="s">
        <v>189</v>
      </c>
      <c r="E15" s="1" t="s">
        <v>54</v>
      </c>
    </row>
    <row r="16" spans="2:5" x14ac:dyDescent="0.3">
      <c r="B16" s="1" t="s">
        <v>73</v>
      </c>
      <c r="D16" s="1" t="s">
        <v>185</v>
      </c>
      <c r="E16" s="1" t="s">
        <v>63</v>
      </c>
    </row>
    <row r="17" spans="2:5" x14ac:dyDescent="0.3">
      <c r="B17" s="1" t="s">
        <v>80</v>
      </c>
      <c r="D17" s="1" t="s">
        <v>186</v>
      </c>
      <c r="E17" s="1" t="s">
        <v>59</v>
      </c>
    </row>
    <row r="18" spans="2:5" x14ac:dyDescent="0.3">
      <c r="B18" s="1" t="s">
        <v>87</v>
      </c>
      <c r="D18" s="1" t="s">
        <v>190</v>
      </c>
      <c r="E18" s="1" t="s">
        <v>99</v>
      </c>
    </row>
    <row r="19" spans="2:5" x14ac:dyDescent="0.3">
      <c r="B19" s="1" t="s">
        <v>89</v>
      </c>
      <c r="D19" s="1" t="s">
        <v>211</v>
      </c>
    </row>
    <row r="20" spans="2:5" x14ac:dyDescent="0.3">
      <c r="B20" s="1" t="s">
        <v>97</v>
      </c>
      <c r="D20" s="1" t="s">
        <v>271</v>
      </c>
      <c r="E20" s="17" t="s">
        <v>221</v>
      </c>
    </row>
    <row r="21" spans="2:5" x14ac:dyDescent="0.3">
      <c r="B21" s="1" t="s">
        <v>99</v>
      </c>
      <c r="D21" s="1" t="s">
        <v>212</v>
      </c>
      <c r="E21" s="1" t="s">
        <v>12</v>
      </c>
    </row>
    <row r="22" spans="2:5" x14ac:dyDescent="0.3">
      <c r="B22" s="1" t="s">
        <v>101</v>
      </c>
      <c r="E22" s="1" t="s">
        <v>19</v>
      </c>
    </row>
    <row r="23" spans="2:5" x14ac:dyDescent="0.3">
      <c r="B23" s="1" t="s">
        <v>103</v>
      </c>
      <c r="D23" s="17" t="s">
        <v>213</v>
      </c>
      <c r="E23" s="1" t="s">
        <v>222</v>
      </c>
    </row>
    <row r="24" spans="2:5" x14ac:dyDescent="0.3">
      <c r="B24" s="1" t="s">
        <v>104</v>
      </c>
      <c r="D24" s="1" t="s">
        <v>214</v>
      </c>
      <c r="E24" s="1" t="s">
        <v>73</v>
      </c>
    </row>
    <row r="25" spans="2:5" x14ac:dyDescent="0.3">
      <c r="B25" s="1" t="s">
        <v>107</v>
      </c>
      <c r="D25" s="1" t="s">
        <v>193</v>
      </c>
      <c r="E25" s="1" t="s">
        <v>223</v>
      </c>
    </row>
    <row r="26" spans="2:5" x14ac:dyDescent="0.3">
      <c r="B26" s="1" t="s">
        <v>108</v>
      </c>
      <c r="E26" s="1" t="s">
        <v>89</v>
      </c>
    </row>
    <row r="27" spans="2:5" x14ac:dyDescent="0.3">
      <c r="B27" s="1" t="s">
        <v>111</v>
      </c>
      <c r="D27" s="17" t="s">
        <v>215</v>
      </c>
      <c r="E27" s="1" t="s">
        <v>97</v>
      </c>
    </row>
    <row r="28" spans="2:5" x14ac:dyDescent="0.3">
      <c r="B28" s="1" t="s">
        <v>115</v>
      </c>
      <c r="D28" s="1" t="s">
        <v>205</v>
      </c>
    </row>
    <row r="29" spans="2:5" x14ac:dyDescent="0.3">
      <c r="B29" s="1" t="s">
        <v>116</v>
      </c>
      <c r="D29" s="1" t="s">
        <v>192</v>
      </c>
      <c r="E29" s="17" t="s">
        <v>224</v>
      </c>
    </row>
    <row r="30" spans="2:5" x14ac:dyDescent="0.3">
      <c r="B30" s="1" t="s">
        <v>117</v>
      </c>
      <c r="E30" s="1" t="s">
        <v>68</v>
      </c>
    </row>
    <row r="31" spans="2:5" x14ac:dyDescent="0.3">
      <c r="B31" s="1" t="s">
        <v>118</v>
      </c>
      <c r="D31" s="17" t="s">
        <v>216</v>
      </c>
      <c r="E31" s="1" t="s">
        <v>69</v>
      </c>
    </row>
    <row r="32" spans="2:5" x14ac:dyDescent="0.3">
      <c r="B32" s="1" t="s">
        <v>121</v>
      </c>
      <c r="D32" s="1" t="s">
        <v>217</v>
      </c>
      <c r="E32" s="1" t="s">
        <v>71</v>
      </c>
    </row>
    <row r="33" spans="2:4" x14ac:dyDescent="0.3">
      <c r="B33" s="1" t="s">
        <v>124</v>
      </c>
      <c r="D33" s="1" t="s">
        <v>203</v>
      </c>
    </row>
    <row r="34" spans="2:4" x14ac:dyDescent="0.3">
      <c r="B34" s="1" t="s">
        <v>185</v>
      </c>
    </row>
    <row r="35" spans="2:4" x14ac:dyDescent="0.3">
      <c r="B35" s="1" t="s">
        <v>186</v>
      </c>
    </row>
    <row r="36" spans="2:4" x14ac:dyDescent="0.3">
      <c r="B36" s="1" t="s">
        <v>187</v>
      </c>
    </row>
    <row r="37" spans="2:4" x14ac:dyDescent="0.3">
      <c r="B37" s="1" t="s">
        <v>188</v>
      </c>
    </row>
    <row r="38" spans="2:4" x14ac:dyDescent="0.3">
      <c r="B38" s="1" t="s">
        <v>189</v>
      </c>
    </row>
    <row r="39" spans="2:4" x14ac:dyDescent="0.3">
      <c r="B39" s="1" t="s">
        <v>190</v>
      </c>
    </row>
    <row r="40" spans="2:4" x14ac:dyDescent="0.3">
      <c r="B40" s="1" t="s">
        <v>191</v>
      </c>
    </row>
    <row r="41" spans="2:4" x14ac:dyDescent="0.3">
      <c r="B41" s="1" t="s">
        <v>192</v>
      </c>
    </row>
    <row r="42" spans="2:4" x14ac:dyDescent="0.3">
      <c r="B42" s="1" t="s">
        <v>193</v>
      </c>
    </row>
    <row r="43" spans="2:4" x14ac:dyDescent="0.3">
      <c r="B43" s="1" t="s">
        <v>194</v>
      </c>
    </row>
    <row r="44" spans="2:4" x14ac:dyDescent="0.3">
      <c r="B44" s="1" t="s">
        <v>195</v>
      </c>
    </row>
    <row r="45" spans="2:4" x14ac:dyDescent="0.3">
      <c r="B45" s="1" t="s">
        <v>196</v>
      </c>
    </row>
    <row r="46" spans="2:4" x14ac:dyDescent="0.3">
      <c r="B46" s="1" t="s">
        <v>197</v>
      </c>
    </row>
    <row r="47" spans="2:4" x14ac:dyDescent="0.3">
      <c r="B47" s="1" t="s">
        <v>198</v>
      </c>
    </row>
    <row r="48" spans="2:4" x14ac:dyDescent="0.3">
      <c r="B48" s="1" t="s">
        <v>199</v>
      </c>
    </row>
    <row r="49" spans="2:2" x14ac:dyDescent="0.3">
      <c r="B49" s="1" t="s">
        <v>200</v>
      </c>
    </row>
    <row r="50" spans="2:2" x14ac:dyDescent="0.3">
      <c r="B50" s="1" t="s">
        <v>201</v>
      </c>
    </row>
    <row r="51" spans="2:2" x14ac:dyDescent="0.3">
      <c r="B51" s="1" t="s">
        <v>184</v>
      </c>
    </row>
    <row r="52" spans="2:2" x14ac:dyDescent="0.3">
      <c r="B52" s="1" t="s">
        <v>202</v>
      </c>
    </row>
    <row r="53" spans="2:2" x14ac:dyDescent="0.3">
      <c r="B53" s="1" t="s">
        <v>203</v>
      </c>
    </row>
    <row r="54" spans="2:2" x14ac:dyDescent="0.3">
      <c r="B54" s="1" t="s">
        <v>204</v>
      </c>
    </row>
    <row r="55" spans="2:2" x14ac:dyDescent="0.3">
      <c r="B55" s="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6"/>
  <sheetViews>
    <sheetView showGridLines="0" zoomScale="85" zoomScaleNormal="85" workbookViewId="0">
      <pane ySplit="1" topLeftCell="A2" activePane="bottomLeft" state="frozen"/>
      <selection pane="bottomLeft" activeCell="I29" sqref="I29"/>
    </sheetView>
  </sheetViews>
  <sheetFormatPr defaultRowHeight="14.4" x14ac:dyDescent="0.3"/>
  <cols>
    <col min="1" max="1" width="3.6640625" customWidth="1"/>
    <col min="2" max="2" width="11.6640625" style="9" customWidth="1"/>
    <col min="3" max="3" width="12.77734375" style="31" customWidth="1"/>
    <col min="4" max="4" width="5.5546875" style="31" customWidth="1"/>
    <col min="5" max="5" width="6.6640625" style="32" customWidth="1"/>
    <col min="6" max="6" width="7.6640625" style="31" customWidth="1"/>
    <col min="7" max="7" width="5.77734375" style="31" customWidth="1"/>
    <col min="8" max="8" width="6.109375" style="31" customWidth="1"/>
    <col min="9" max="9" width="4.44140625" style="31" customWidth="1"/>
    <col min="10" max="10" width="6.6640625" style="31" customWidth="1"/>
    <col min="11" max="11" width="6.33203125" style="31" customWidth="1"/>
    <col min="12" max="12" width="5.33203125" style="31" customWidth="1"/>
    <col min="13" max="13" width="6" style="31" customWidth="1"/>
    <col min="14" max="14" width="5" style="31" customWidth="1"/>
    <col min="15" max="15" width="5.88671875" style="31" customWidth="1"/>
    <col min="16" max="16" width="5.109375" style="31" customWidth="1"/>
    <col min="17" max="17" width="5.44140625" style="31" customWidth="1"/>
    <col min="18" max="18" width="4.77734375" style="31" customWidth="1"/>
    <col min="19" max="19" width="9.44140625" style="31" bestFit="1" customWidth="1"/>
    <col min="20" max="20" width="4.21875" style="37" customWidth="1"/>
    <col min="21" max="21" width="3.5546875" style="37" bestFit="1" customWidth="1"/>
    <col min="22" max="22" width="4.88671875" style="37" bestFit="1" customWidth="1"/>
    <col min="23" max="23" width="11.6640625" style="6" hidden="1" customWidth="1"/>
    <col min="24" max="24" width="3.6640625" customWidth="1"/>
  </cols>
  <sheetData>
    <row r="1" spans="1:25" ht="28.8" x14ac:dyDescent="0.3">
      <c r="A1" s="13"/>
      <c r="B1" s="14" t="s">
        <v>230</v>
      </c>
      <c r="C1" s="19" t="s">
        <v>0</v>
      </c>
      <c r="D1" s="33" t="s">
        <v>229</v>
      </c>
      <c r="E1" s="34" t="s">
        <v>231</v>
      </c>
      <c r="F1" s="35" t="s">
        <v>232</v>
      </c>
      <c r="G1" s="38" t="s">
        <v>233</v>
      </c>
      <c r="H1" s="39"/>
      <c r="I1" s="38" t="s">
        <v>234</v>
      </c>
      <c r="J1" s="39"/>
      <c r="K1" s="38" t="s">
        <v>235</v>
      </c>
      <c r="L1" s="39"/>
      <c r="M1" s="39"/>
      <c r="N1" s="39"/>
      <c r="O1" s="38" t="s">
        <v>236</v>
      </c>
      <c r="P1" s="39"/>
      <c r="Q1" s="39"/>
      <c r="R1" s="39"/>
      <c r="S1" s="33" t="s">
        <v>1</v>
      </c>
      <c r="T1" s="15" t="s">
        <v>228</v>
      </c>
      <c r="U1" s="15" t="s">
        <v>2</v>
      </c>
      <c r="V1" s="15" t="s">
        <v>3</v>
      </c>
      <c r="W1" s="13" t="s">
        <v>4</v>
      </c>
      <c r="X1" s="15"/>
      <c r="Y1" s="16" t="s">
        <v>206</v>
      </c>
    </row>
    <row r="2" spans="1:25" s="4" customFormat="1" x14ac:dyDescent="0.3">
      <c r="A2" s="11"/>
      <c r="B2" s="12"/>
      <c r="C2" s="18"/>
      <c r="D2" s="18"/>
      <c r="E2" s="20" t="s">
        <v>237</v>
      </c>
      <c r="F2" s="21" t="s">
        <v>237</v>
      </c>
      <c r="G2" s="21" t="s">
        <v>237</v>
      </c>
      <c r="H2" s="22" t="s">
        <v>5</v>
      </c>
      <c r="I2" s="22" t="s">
        <v>5</v>
      </c>
      <c r="J2" s="21" t="s">
        <v>6</v>
      </c>
      <c r="K2" s="22" t="s">
        <v>7</v>
      </c>
      <c r="L2" s="22" t="s">
        <v>8</v>
      </c>
      <c r="M2" s="22" t="s">
        <v>9</v>
      </c>
      <c r="N2" s="22" t="s">
        <v>10</v>
      </c>
      <c r="O2" s="22" t="s">
        <v>7</v>
      </c>
      <c r="P2" s="22" t="s">
        <v>8</v>
      </c>
      <c r="Q2" s="18" t="s">
        <v>9</v>
      </c>
      <c r="R2" s="18" t="s">
        <v>10</v>
      </c>
      <c r="S2" s="18"/>
      <c r="T2" s="10"/>
      <c r="U2" s="10"/>
      <c r="V2" s="10"/>
      <c r="W2" s="11"/>
      <c r="X2" s="11"/>
      <c r="Y2" s="11"/>
    </row>
    <row r="3" spans="1:25" x14ac:dyDescent="0.3">
      <c r="B3" s="7" t="s">
        <v>12</v>
      </c>
      <c r="C3" s="23" t="s">
        <v>11</v>
      </c>
      <c r="D3" s="23">
        <v>16</v>
      </c>
      <c r="E3" s="24">
        <v>8.25</v>
      </c>
      <c r="F3" s="25">
        <v>11</v>
      </c>
      <c r="G3" s="25">
        <v>42</v>
      </c>
      <c r="H3" s="26">
        <v>1068</v>
      </c>
      <c r="I3" s="26">
        <v>24</v>
      </c>
      <c r="J3" s="25">
        <v>30.2</v>
      </c>
      <c r="K3" s="26">
        <v>6614</v>
      </c>
      <c r="L3" s="26">
        <v>120</v>
      </c>
      <c r="M3" s="26">
        <v>3000</v>
      </c>
      <c r="N3" s="26">
        <v>830</v>
      </c>
      <c r="O3" s="26">
        <v>6008</v>
      </c>
      <c r="P3" s="26">
        <v>120</v>
      </c>
      <c r="Q3" s="23">
        <v>2725</v>
      </c>
      <c r="R3" s="23">
        <v>830</v>
      </c>
      <c r="S3" s="23" t="s">
        <v>13</v>
      </c>
      <c r="T3" s="2"/>
      <c r="U3" s="2" t="s">
        <v>181</v>
      </c>
      <c r="V3" s="2" t="s">
        <v>181</v>
      </c>
      <c r="W3" s="5" t="s">
        <v>12</v>
      </c>
    </row>
    <row r="4" spans="1:25" x14ac:dyDescent="0.3">
      <c r="B4" s="7"/>
      <c r="C4" s="23" t="s">
        <v>14</v>
      </c>
      <c r="D4" s="23">
        <v>18</v>
      </c>
      <c r="E4" s="24">
        <v>9.75</v>
      </c>
      <c r="F4" s="25">
        <v>12.4</v>
      </c>
      <c r="G4" s="25">
        <v>44.9</v>
      </c>
      <c r="H4" s="26">
        <v>1141</v>
      </c>
      <c r="I4" s="26">
        <v>24</v>
      </c>
      <c r="J4" s="25">
        <v>30.2</v>
      </c>
      <c r="K4" s="26">
        <v>8267</v>
      </c>
      <c r="L4" s="26">
        <v>120</v>
      </c>
      <c r="M4" s="26">
        <v>3750</v>
      </c>
      <c r="N4" s="26">
        <v>830</v>
      </c>
      <c r="O4" s="26">
        <v>7606</v>
      </c>
      <c r="P4" s="26">
        <v>120</v>
      </c>
      <c r="Q4" s="23">
        <v>3450</v>
      </c>
      <c r="R4" s="23">
        <v>830</v>
      </c>
      <c r="S4" s="23" t="s">
        <v>15</v>
      </c>
      <c r="T4" s="2"/>
      <c r="U4" s="2" t="s">
        <v>181</v>
      </c>
      <c r="V4" s="2" t="s">
        <v>181</v>
      </c>
      <c r="W4" s="5" t="s">
        <v>12</v>
      </c>
    </row>
    <row r="5" spans="1:25" x14ac:dyDescent="0.3">
      <c r="B5" s="7"/>
      <c r="C5" s="23" t="s">
        <v>16</v>
      </c>
      <c r="D5" s="23">
        <v>20</v>
      </c>
      <c r="E5" s="24">
        <v>9</v>
      </c>
      <c r="F5" s="25">
        <v>12.5</v>
      </c>
      <c r="G5" s="25">
        <v>43.1</v>
      </c>
      <c r="H5" s="26">
        <v>1095</v>
      </c>
      <c r="I5" s="26">
        <v>23</v>
      </c>
      <c r="J5" s="25">
        <v>29</v>
      </c>
      <c r="K5" s="26">
        <v>9094</v>
      </c>
      <c r="L5" s="26">
        <v>131</v>
      </c>
      <c r="M5" s="26">
        <v>4125</v>
      </c>
      <c r="N5" s="26">
        <v>900</v>
      </c>
      <c r="O5" s="26">
        <v>8267</v>
      </c>
      <c r="P5" s="26">
        <v>131</v>
      </c>
      <c r="Q5" s="23">
        <v>3750</v>
      </c>
      <c r="R5" s="23">
        <v>900</v>
      </c>
      <c r="S5" s="23" t="s">
        <v>17</v>
      </c>
      <c r="T5" s="2"/>
      <c r="U5" s="2" t="s">
        <v>181</v>
      </c>
      <c r="V5" s="2" t="s">
        <v>181</v>
      </c>
      <c r="W5" s="5" t="s">
        <v>12</v>
      </c>
    </row>
    <row r="6" spans="1:25" x14ac:dyDescent="0.3">
      <c r="B6" s="7" t="s">
        <v>19</v>
      </c>
      <c r="C6" s="23" t="s">
        <v>18</v>
      </c>
      <c r="D6" s="23">
        <v>18</v>
      </c>
      <c r="E6" s="24">
        <v>8</v>
      </c>
      <c r="F6" s="25">
        <v>11.3</v>
      </c>
      <c r="G6" s="25">
        <v>42.9</v>
      </c>
      <c r="H6" s="26">
        <v>1091</v>
      </c>
      <c r="I6" s="26">
        <v>19</v>
      </c>
      <c r="J6" s="25">
        <v>23.3</v>
      </c>
      <c r="K6" s="26">
        <v>7826</v>
      </c>
      <c r="L6" s="26">
        <v>135</v>
      </c>
      <c r="M6" s="26">
        <v>3550</v>
      </c>
      <c r="N6" s="26">
        <v>930</v>
      </c>
      <c r="O6" s="26">
        <v>7165</v>
      </c>
      <c r="P6" s="26">
        <v>135</v>
      </c>
      <c r="Q6" s="23">
        <v>3250</v>
      </c>
      <c r="R6" s="23">
        <v>930</v>
      </c>
      <c r="S6" s="23" t="s">
        <v>20</v>
      </c>
      <c r="T6" s="2"/>
      <c r="U6" s="2" t="s">
        <v>181</v>
      </c>
      <c r="V6" s="2" t="s">
        <v>181</v>
      </c>
      <c r="W6" s="5" t="s">
        <v>19</v>
      </c>
    </row>
    <row r="7" spans="1:25" x14ac:dyDescent="0.3">
      <c r="B7" s="7"/>
      <c r="C7" s="23" t="s">
        <v>11</v>
      </c>
      <c r="D7" s="23">
        <v>16</v>
      </c>
      <c r="E7" s="24">
        <v>8.25</v>
      </c>
      <c r="F7" s="25">
        <v>10.9</v>
      </c>
      <c r="G7" s="25">
        <v>41.9</v>
      </c>
      <c r="H7" s="26">
        <v>1065</v>
      </c>
      <c r="I7" s="26">
        <v>23</v>
      </c>
      <c r="J7" s="25">
        <v>28.3</v>
      </c>
      <c r="K7" s="26">
        <v>6614</v>
      </c>
      <c r="L7" s="26">
        <v>120</v>
      </c>
      <c r="M7" s="26">
        <v>3000</v>
      </c>
      <c r="N7" s="26">
        <v>830</v>
      </c>
      <c r="O7" s="26">
        <v>6008</v>
      </c>
      <c r="P7" s="26">
        <v>120</v>
      </c>
      <c r="Q7" s="23">
        <v>2725</v>
      </c>
      <c r="R7" s="23">
        <v>830</v>
      </c>
      <c r="S7" s="23" t="s">
        <v>21</v>
      </c>
      <c r="T7" s="2"/>
      <c r="U7" s="2" t="s">
        <v>181</v>
      </c>
      <c r="V7" s="2" t="s">
        <v>181</v>
      </c>
      <c r="W7" s="5" t="s">
        <v>19</v>
      </c>
    </row>
    <row r="8" spans="1:25" x14ac:dyDescent="0.3">
      <c r="B8" s="7"/>
      <c r="C8" s="23" t="s">
        <v>22</v>
      </c>
      <c r="D8" s="23">
        <v>16</v>
      </c>
      <c r="E8" s="24">
        <v>8.25</v>
      </c>
      <c r="F8" s="25">
        <v>11.4</v>
      </c>
      <c r="G8" s="25">
        <v>43.5</v>
      </c>
      <c r="H8" s="26">
        <v>1106</v>
      </c>
      <c r="I8" s="26">
        <v>23</v>
      </c>
      <c r="J8" s="25">
        <v>28.3</v>
      </c>
      <c r="K8" s="26">
        <v>7165</v>
      </c>
      <c r="L8" s="26">
        <v>120</v>
      </c>
      <c r="M8" s="26">
        <v>3250</v>
      </c>
      <c r="N8" s="26">
        <v>830</v>
      </c>
      <c r="O8" s="26">
        <v>6614</v>
      </c>
      <c r="P8" s="26">
        <v>120</v>
      </c>
      <c r="Q8" s="23">
        <v>3000</v>
      </c>
      <c r="R8" s="23">
        <v>830</v>
      </c>
      <c r="S8" s="23" t="s">
        <v>23</v>
      </c>
      <c r="T8" s="2"/>
      <c r="U8" s="2" t="s">
        <v>181</v>
      </c>
      <c r="V8" s="2"/>
      <c r="W8" s="5" t="s">
        <v>19</v>
      </c>
    </row>
    <row r="9" spans="1:25" x14ac:dyDescent="0.3">
      <c r="B9" s="7"/>
      <c r="C9" s="23" t="s">
        <v>24</v>
      </c>
      <c r="D9" s="23">
        <v>18</v>
      </c>
      <c r="E9" s="24">
        <v>8.5</v>
      </c>
      <c r="F9" s="25">
        <v>12.3</v>
      </c>
      <c r="G9" s="25">
        <v>44.5</v>
      </c>
      <c r="H9" s="26">
        <v>1129</v>
      </c>
      <c r="I9" s="26">
        <v>21</v>
      </c>
      <c r="J9" s="25">
        <v>26</v>
      </c>
      <c r="K9" s="26">
        <v>8267</v>
      </c>
      <c r="L9" s="26">
        <v>120</v>
      </c>
      <c r="M9" s="26">
        <v>3750</v>
      </c>
      <c r="N9" s="26">
        <v>830</v>
      </c>
      <c r="O9" s="26">
        <v>7606</v>
      </c>
      <c r="P9" s="26">
        <v>120</v>
      </c>
      <c r="Q9" s="23">
        <v>3450</v>
      </c>
      <c r="R9" s="23">
        <v>830</v>
      </c>
      <c r="S9" s="23" t="s">
        <v>15</v>
      </c>
      <c r="T9" s="2"/>
      <c r="U9" s="2" t="s">
        <v>181</v>
      </c>
      <c r="V9" s="2" t="s">
        <v>181</v>
      </c>
      <c r="W9" s="5" t="s">
        <v>19</v>
      </c>
    </row>
    <row r="10" spans="1:25" x14ac:dyDescent="0.3">
      <c r="B10" s="7"/>
      <c r="C10" s="23" t="s">
        <v>25</v>
      </c>
      <c r="D10" s="23">
        <v>20</v>
      </c>
      <c r="E10" s="24">
        <v>8.5</v>
      </c>
      <c r="F10" s="25">
        <v>12.3</v>
      </c>
      <c r="G10" s="25">
        <v>48.4</v>
      </c>
      <c r="H10" s="26">
        <v>1230</v>
      </c>
      <c r="I10" s="26">
        <v>21</v>
      </c>
      <c r="J10" s="25">
        <v>26</v>
      </c>
      <c r="K10" s="26">
        <v>9921</v>
      </c>
      <c r="L10" s="26">
        <v>131</v>
      </c>
      <c r="M10" s="26">
        <v>4500</v>
      </c>
      <c r="N10" s="26">
        <v>900</v>
      </c>
      <c r="O10" s="26">
        <v>9094</v>
      </c>
      <c r="P10" s="26">
        <v>131</v>
      </c>
      <c r="Q10" s="23">
        <v>4125</v>
      </c>
      <c r="R10" s="23">
        <v>900</v>
      </c>
      <c r="S10" s="23" t="s">
        <v>26</v>
      </c>
      <c r="T10" s="2"/>
      <c r="U10" s="2" t="s">
        <v>181</v>
      </c>
      <c r="V10" s="2" t="s">
        <v>181</v>
      </c>
      <c r="W10" s="5" t="s">
        <v>19</v>
      </c>
    </row>
    <row r="11" spans="1:25" x14ac:dyDescent="0.3">
      <c r="B11" s="7"/>
      <c r="C11" s="23" t="s">
        <v>27</v>
      </c>
      <c r="D11" s="23">
        <v>18</v>
      </c>
      <c r="E11" s="24">
        <v>9</v>
      </c>
      <c r="F11" s="25">
        <v>11.9</v>
      </c>
      <c r="G11" s="25">
        <v>42.6</v>
      </c>
      <c r="H11" s="26">
        <v>1082</v>
      </c>
      <c r="I11" s="26">
        <v>20</v>
      </c>
      <c r="J11" s="25">
        <v>24.6</v>
      </c>
      <c r="K11" s="26">
        <v>7826</v>
      </c>
      <c r="L11" s="26">
        <v>135</v>
      </c>
      <c r="M11" s="26">
        <v>3550</v>
      </c>
      <c r="N11" s="26">
        <v>930</v>
      </c>
      <c r="O11" s="26">
        <v>7165</v>
      </c>
      <c r="P11" s="26">
        <v>135</v>
      </c>
      <c r="Q11" s="23">
        <v>3250</v>
      </c>
      <c r="R11" s="23">
        <v>930</v>
      </c>
      <c r="S11" s="23" t="s">
        <v>28</v>
      </c>
      <c r="T11" s="2"/>
      <c r="U11" s="2" t="s">
        <v>181</v>
      </c>
      <c r="V11" s="2" t="s">
        <v>181</v>
      </c>
      <c r="W11" s="5" t="s">
        <v>19</v>
      </c>
    </row>
    <row r="12" spans="1:25" x14ac:dyDescent="0.3">
      <c r="B12" s="7"/>
      <c r="C12" s="23" t="s">
        <v>14</v>
      </c>
      <c r="D12" s="23">
        <v>18</v>
      </c>
      <c r="E12" s="24">
        <v>9.75</v>
      </c>
      <c r="F12" s="25">
        <v>12.5</v>
      </c>
      <c r="G12" s="25">
        <v>44.4</v>
      </c>
      <c r="H12" s="26">
        <v>1128</v>
      </c>
      <c r="I12" s="26">
        <v>21</v>
      </c>
      <c r="J12" s="25">
        <v>26</v>
      </c>
      <c r="K12" s="26">
        <v>8267</v>
      </c>
      <c r="L12" s="26">
        <v>120</v>
      </c>
      <c r="M12" s="26">
        <v>3750</v>
      </c>
      <c r="N12" s="26">
        <v>830</v>
      </c>
      <c r="O12" s="26">
        <v>7606</v>
      </c>
      <c r="P12" s="26">
        <v>120</v>
      </c>
      <c r="Q12" s="23">
        <v>3450</v>
      </c>
      <c r="R12" s="23">
        <v>830</v>
      </c>
      <c r="S12" s="23" t="s">
        <v>15</v>
      </c>
      <c r="T12" s="2"/>
      <c r="U12" s="2" t="s">
        <v>181</v>
      </c>
      <c r="V12" s="2" t="s">
        <v>181</v>
      </c>
      <c r="W12" s="5" t="s">
        <v>19</v>
      </c>
    </row>
    <row r="13" spans="1:25" x14ac:dyDescent="0.3">
      <c r="B13" s="7"/>
      <c r="C13" s="23" t="s">
        <v>29</v>
      </c>
      <c r="D13" s="23">
        <v>18</v>
      </c>
      <c r="E13" s="24">
        <v>8.25</v>
      </c>
      <c r="F13" s="25">
        <v>10.8</v>
      </c>
      <c r="G13" s="25">
        <v>38.299999999999997</v>
      </c>
      <c r="H13" s="26">
        <v>972</v>
      </c>
      <c r="I13" s="26">
        <v>21</v>
      </c>
      <c r="J13" s="25">
        <v>26</v>
      </c>
      <c r="K13" s="26">
        <v>6945</v>
      </c>
      <c r="L13" s="26">
        <v>131</v>
      </c>
      <c r="M13" s="26">
        <v>3150</v>
      </c>
      <c r="N13" s="26">
        <v>900</v>
      </c>
      <c r="O13" s="26">
        <v>6393</v>
      </c>
      <c r="P13" s="26">
        <v>131</v>
      </c>
      <c r="Q13" s="23">
        <v>2900</v>
      </c>
      <c r="R13" s="23">
        <v>900</v>
      </c>
      <c r="S13" s="23" t="s">
        <v>30</v>
      </c>
      <c r="T13" s="2"/>
      <c r="U13" s="2" t="s">
        <v>181</v>
      </c>
      <c r="V13" s="2" t="s">
        <v>181</v>
      </c>
      <c r="W13" s="5" t="s">
        <v>19</v>
      </c>
    </row>
    <row r="14" spans="1:25" x14ac:dyDescent="0.3">
      <c r="B14" s="7"/>
      <c r="C14" s="23" t="s">
        <v>16</v>
      </c>
      <c r="D14" s="23">
        <v>18</v>
      </c>
      <c r="E14" s="24">
        <v>9</v>
      </c>
      <c r="F14" s="25">
        <v>12.4</v>
      </c>
      <c r="G14" s="25">
        <v>42.8</v>
      </c>
      <c r="H14" s="26">
        <v>1088</v>
      </c>
      <c r="I14" s="26">
        <v>20</v>
      </c>
      <c r="J14" s="25">
        <v>24.6</v>
      </c>
      <c r="K14" s="26">
        <v>8267</v>
      </c>
      <c r="L14" s="26">
        <v>120</v>
      </c>
      <c r="M14" s="26">
        <v>3750</v>
      </c>
      <c r="N14" s="26">
        <v>830</v>
      </c>
      <c r="O14" s="26">
        <v>7606</v>
      </c>
      <c r="P14" s="26">
        <v>120</v>
      </c>
      <c r="Q14" s="23">
        <v>3450</v>
      </c>
      <c r="R14" s="23">
        <v>830</v>
      </c>
      <c r="S14" s="23" t="s">
        <v>31</v>
      </c>
      <c r="T14" s="2"/>
      <c r="U14" s="2" t="s">
        <v>181</v>
      </c>
      <c r="V14" s="2" t="s">
        <v>181</v>
      </c>
      <c r="W14" s="5" t="s">
        <v>19</v>
      </c>
    </row>
    <row r="15" spans="1:25" x14ac:dyDescent="0.3">
      <c r="B15" s="7"/>
      <c r="C15" s="23" t="s">
        <v>16</v>
      </c>
      <c r="D15" s="23">
        <v>20</v>
      </c>
      <c r="E15" s="24">
        <v>9</v>
      </c>
      <c r="F15" s="25">
        <v>12.5</v>
      </c>
      <c r="G15" s="25">
        <v>42.8</v>
      </c>
      <c r="H15" s="26">
        <v>1088</v>
      </c>
      <c r="I15" s="26">
        <v>20</v>
      </c>
      <c r="J15" s="25">
        <v>24.6</v>
      </c>
      <c r="K15" s="26">
        <v>9094</v>
      </c>
      <c r="L15" s="26">
        <v>131</v>
      </c>
      <c r="M15" s="26">
        <v>4125</v>
      </c>
      <c r="N15" s="26">
        <v>900</v>
      </c>
      <c r="O15" s="26">
        <v>8267</v>
      </c>
      <c r="P15" s="26">
        <v>131</v>
      </c>
      <c r="Q15" s="23">
        <v>3750</v>
      </c>
      <c r="R15" s="23">
        <v>900</v>
      </c>
      <c r="S15" s="23" t="s">
        <v>32</v>
      </c>
      <c r="T15" s="2"/>
      <c r="U15" s="2" t="s">
        <v>181</v>
      </c>
      <c r="V15" s="2" t="s">
        <v>181</v>
      </c>
      <c r="W15" s="5" t="s">
        <v>19</v>
      </c>
    </row>
    <row r="16" spans="1:25" x14ac:dyDescent="0.3">
      <c r="B16" s="7" t="s">
        <v>33</v>
      </c>
      <c r="C16" s="23" t="s">
        <v>11</v>
      </c>
      <c r="D16" s="23">
        <v>16</v>
      </c>
      <c r="E16" s="24">
        <v>8.25</v>
      </c>
      <c r="F16" s="25">
        <v>11</v>
      </c>
      <c r="G16" s="25">
        <v>42</v>
      </c>
      <c r="H16" s="26">
        <v>1066</v>
      </c>
      <c r="I16" s="26">
        <v>21</v>
      </c>
      <c r="J16" s="25">
        <v>26</v>
      </c>
      <c r="K16" s="26">
        <v>6614</v>
      </c>
      <c r="L16" s="26">
        <v>120</v>
      </c>
      <c r="M16" s="26">
        <v>3000</v>
      </c>
      <c r="N16" s="26">
        <v>830</v>
      </c>
      <c r="O16" s="26">
        <v>6008</v>
      </c>
      <c r="P16" s="26">
        <v>120</v>
      </c>
      <c r="Q16" s="23">
        <v>2725</v>
      </c>
      <c r="R16" s="23">
        <v>830</v>
      </c>
      <c r="S16" s="23" t="s">
        <v>21</v>
      </c>
      <c r="T16" s="2"/>
      <c r="U16" s="2" t="s">
        <v>181</v>
      </c>
      <c r="V16" s="2"/>
      <c r="W16" s="5" t="s">
        <v>34</v>
      </c>
    </row>
    <row r="17" spans="2:23" x14ac:dyDescent="0.3">
      <c r="B17" s="7"/>
      <c r="C17" s="23" t="s">
        <v>22</v>
      </c>
      <c r="D17" s="23">
        <v>16</v>
      </c>
      <c r="E17" s="24">
        <v>8.25</v>
      </c>
      <c r="F17" s="25">
        <v>11.1</v>
      </c>
      <c r="G17" s="25">
        <v>43.5</v>
      </c>
      <c r="H17" s="26">
        <v>1104</v>
      </c>
      <c r="I17" s="26">
        <v>21</v>
      </c>
      <c r="J17" s="25">
        <v>26</v>
      </c>
      <c r="K17" s="26">
        <v>7165</v>
      </c>
      <c r="L17" s="26">
        <v>120</v>
      </c>
      <c r="M17" s="26">
        <v>3250</v>
      </c>
      <c r="N17" s="26">
        <v>830</v>
      </c>
      <c r="O17" s="26">
        <v>6614</v>
      </c>
      <c r="P17" s="26">
        <v>120</v>
      </c>
      <c r="Q17" s="23">
        <v>3000</v>
      </c>
      <c r="R17" s="23">
        <v>830</v>
      </c>
      <c r="S17" s="23" t="s">
        <v>23</v>
      </c>
      <c r="T17" s="2"/>
      <c r="U17" s="2" t="s">
        <v>181</v>
      </c>
      <c r="V17" s="2"/>
      <c r="W17" s="5" t="s">
        <v>34</v>
      </c>
    </row>
    <row r="18" spans="2:23" x14ac:dyDescent="0.3">
      <c r="B18" s="7" t="s">
        <v>36</v>
      </c>
      <c r="C18" s="23" t="s">
        <v>35</v>
      </c>
      <c r="D18" s="23">
        <v>18</v>
      </c>
      <c r="E18" s="24">
        <v>9</v>
      </c>
      <c r="F18" s="25">
        <v>11.9</v>
      </c>
      <c r="G18" s="25">
        <v>44.7</v>
      </c>
      <c r="H18" s="26">
        <v>1135</v>
      </c>
      <c r="I18" s="26">
        <v>21</v>
      </c>
      <c r="J18" s="25">
        <v>26</v>
      </c>
      <c r="K18" s="26">
        <v>8267</v>
      </c>
      <c r="L18" s="26">
        <v>135</v>
      </c>
      <c r="M18" s="26">
        <v>3750</v>
      </c>
      <c r="N18" s="26">
        <v>930</v>
      </c>
      <c r="O18" s="26">
        <v>7606</v>
      </c>
      <c r="P18" s="26">
        <v>135</v>
      </c>
      <c r="Q18" s="23">
        <v>3450</v>
      </c>
      <c r="R18" s="23">
        <v>930</v>
      </c>
      <c r="S18" s="23" t="s">
        <v>31</v>
      </c>
      <c r="T18" s="2"/>
      <c r="U18" s="2" t="s">
        <v>181</v>
      </c>
      <c r="V18" s="2"/>
      <c r="W18" s="5" t="s">
        <v>36</v>
      </c>
    </row>
    <row r="19" spans="2:23" x14ac:dyDescent="0.3">
      <c r="B19" s="7" t="s">
        <v>38</v>
      </c>
      <c r="C19" s="23" t="s">
        <v>37</v>
      </c>
      <c r="D19" s="23">
        <v>18</v>
      </c>
      <c r="E19" s="24">
        <v>7.5</v>
      </c>
      <c r="F19" s="25">
        <v>10.7</v>
      </c>
      <c r="G19" s="25">
        <v>41.6</v>
      </c>
      <c r="H19" s="26">
        <v>1056</v>
      </c>
      <c r="I19" s="26">
        <v>18</v>
      </c>
      <c r="J19" s="25">
        <v>22</v>
      </c>
      <c r="K19" s="26">
        <v>7165</v>
      </c>
      <c r="L19" s="26">
        <v>135</v>
      </c>
      <c r="M19" s="26">
        <v>3250</v>
      </c>
      <c r="N19" s="26">
        <v>930</v>
      </c>
      <c r="O19" s="26">
        <v>6614</v>
      </c>
      <c r="P19" s="26">
        <v>135</v>
      </c>
      <c r="Q19" s="23">
        <v>3000</v>
      </c>
      <c r="R19" s="23">
        <v>930</v>
      </c>
      <c r="S19" s="23" t="s">
        <v>39</v>
      </c>
      <c r="T19" s="2"/>
      <c r="U19" s="2" t="s">
        <v>181</v>
      </c>
      <c r="V19" s="2" t="s">
        <v>181</v>
      </c>
      <c r="W19" s="5" t="s">
        <v>38</v>
      </c>
    </row>
    <row r="20" spans="2:23" x14ac:dyDescent="0.3">
      <c r="B20" s="7"/>
      <c r="C20" s="23" t="s">
        <v>18</v>
      </c>
      <c r="D20" s="23">
        <v>18</v>
      </c>
      <c r="E20" s="24">
        <v>8</v>
      </c>
      <c r="F20" s="25">
        <v>11.3</v>
      </c>
      <c r="G20" s="25">
        <v>43</v>
      </c>
      <c r="H20" s="26">
        <v>1091</v>
      </c>
      <c r="I20" s="26">
        <v>19</v>
      </c>
      <c r="J20" s="25">
        <v>23.3</v>
      </c>
      <c r="K20" s="26">
        <v>7826</v>
      </c>
      <c r="L20" s="26">
        <v>135</v>
      </c>
      <c r="M20" s="26">
        <v>3550</v>
      </c>
      <c r="N20" s="26">
        <v>930</v>
      </c>
      <c r="O20" s="26">
        <v>7165</v>
      </c>
      <c r="P20" s="26">
        <v>135</v>
      </c>
      <c r="Q20" s="23">
        <v>3250</v>
      </c>
      <c r="R20" s="23">
        <v>930</v>
      </c>
      <c r="S20" s="23" t="s">
        <v>28</v>
      </c>
      <c r="T20" s="2"/>
      <c r="U20" s="2" t="s">
        <v>181</v>
      </c>
      <c r="V20" s="2" t="s">
        <v>181</v>
      </c>
      <c r="W20" s="5" t="s">
        <v>38</v>
      </c>
    </row>
    <row r="21" spans="2:23" x14ac:dyDescent="0.3">
      <c r="B21" s="7"/>
      <c r="C21" s="23" t="s">
        <v>11</v>
      </c>
      <c r="D21" s="23">
        <v>16</v>
      </c>
      <c r="E21" s="24">
        <v>8.25</v>
      </c>
      <c r="F21" s="25">
        <v>11</v>
      </c>
      <c r="G21" s="25">
        <v>41.8</v>
      </c>
      <c r="H21" s="26">
        <v>1063</v>
      </c>
      <c r="I21" s="26">
        <v>21</v>
      </c>
      <c r="J21" s="25">
        <v>26</v>
      </c>
      <c r="K21" s="26">
        <v>6945</v>
      </c>
      <c r="L21" s="26">
        <v>120</v>
      </c>
      <c r="M21" s="26">
        <v>3150</v>
      </c>
      <c r="N21" s="26">
        <v>830</v>
      </c>
      <c r="O21" s="26">
        <v>6173</v>
      </c>
      <c r="P21" s="26">
        <v>120</v>
      </c>
      <c r="Q21" s="23">
        <v>2800</v>
      </c>
      <c r="R21" s="23">
        <v>830</v>
      </c>
      <c r="S21" s="23" t="s">
        <v>40</v>
      </c>
      <c r="T21" s="2"/>
      <c r="U21" s="2" t="s">
        <v>181</v>
      </c>
      <c r="V21" s="2" t="s">
        <v>181</v>
      </c>
      <c r="W21" s="5" t="s">
        <v>38</v>
      </c>
    </row>
    <row r="22" spans="2:23" x14ac:dyDescent="0.3">
      <c r="B22" s="7"/>
      <c r="C22" s="23" t="s">
        <v>22</v>
      </c>
      <c r="D22" s="23">
        <v>16</v>
      </c>
      <c r="E22" s="24">
        <v>8.25</v>
      </c>
      <c r="F22" s="25">
        <v>11.1</v>
      </c>
      <c r="G22" s="25">
        <v>43.5</v>
      </c>
      <c r="H22" s="26">
        <v>1104</v>
      </c>
      <c r="I22" s="26">
        <v>21</v>
      </c>
      <c r="J22" s="25">
        <v>26</v>
      </c>
      <c r="K22" s="26">
        <v>7165</v>
      </c>
      <c r="L22" s="26">
        <v>120</v>
      </c>
      <c r="M22" s="26">
        <v>3250</v>
      </c>
      <c r="N22" s="26">
        <v>830</v>
      </c>
      <c r="O22" s="26">
        <v>6614</v>
      </c>
      <c r="P22" s="26">
        <v>120</v>
      </c>
      <c r="Q22" s="23">
        <v>3000</v>
      </c>
      <c r="R22" s="23">
        <v>830</v>
      </c>
      <c r="S22" s="23" t="s">
        <v>23</v>
      </c>
      <c r="T22" s="2"/>
      <c r="U22" s="2" t="s">
        <v>181</v>
      </c>
      <c r="V22" s="2"/>
      <c r="W22" s="5" t="s">
        <v>38</v>
      </c>
    </row>
    <row r="23" spans="2:23" x14ac:dyDescent="0.3">
      <c r="B23" s="7"/>
      <c r="C23" s="23" t="s">
        <v>24</v>
      </c>
      <c r="D23" s="23">
        <v>22</v>
      </c>
      <c r="E23" s="24">
        <v>8.5</v>
      </c>
      <c r="F23" s="25">
        <v>12.3</v>
      </c>
      <c r="G23" s="25">
        <v>44.4</v>
      </c>
      <c r="H23" s="26">
        <v>1127</v>
      </c>
      <c r="I23" s="26">
        <v>19</v>
      </c>
      <c r="J23" s="25">
        <v>23.9</v>
      </c>
      <c r="K23" s="26">
        <v>9370</v>
      </c>
      <c r="L23" s="26">
        <v>141</v>
      </c>
      <c r="M23" s="26">
        <v>4250</v>
      </c>
      <c r="N23" s="26">
        <v>970</v>
      </c>
      <c r="O23" s="26">
        <v>8543</v>
      </c>
      <c r="P23" s="26">
        <v>141</v>
      </c>
      <c r="Q23" s="23">
        <v>3875</v>
      </c>
      <c r="R23" s="23">
        <v>970</v>
      </c>
      <c r="S23" s="23" t="s">
        <v>41</v>
      </c>
      <c r="T23" s="2"/>
      <c r="U23" s="2" t="s">
        <v>181</v>
      </c>
      <c r="V23" s="2" t="s">
        <v>181</v>
      </c>
      <c r="W23" s="5" t="s">
        <v>38</v>
      </c>
    </row>
    <row r="24" spans="2:23" x14ac:dyDescent="0.3">
      <c r="B24" s="7"/>
      <c r="C24" s="23" t="s">
        <v>42</v>
      </c>
      <c r="D24" s="23">
        <v>16</v>
      </c>
      <c r="E24" s="24">
        <v>7</v>
      </c>
      <c r="F24" s="25">
        <v>10.199999999999999</v>
      </c>
      <c r="G24" s="25">
        <v>40.4</v>
      </c>
      <c r="H24" s="26">
        <v>1025</v>
      </c>
      <c r="I24" s="26">
        <v>17</v>
      </c>
      <c r="J24" s="25">
        <v>21.4</v>
      </c>
      <c r="K24" s="26">
        <v>6173</v>
      </c>
      <c r="L24" s="26">
        <v>131</v>
      </c>
      <c r="M24" s="26">
        <v>2800</v>
      </c>
      <c r="N24" s="26">
        <v>900</v>
      </c>
      <c r="O24" s="26">
        <v>5842</v>
      </c>
      <c r="P24" s="26">
        <v>131</v>
      </c>
      <c r="Q24" s="23">
        <v>2650</v>
      </c>
      <c r="R24" s="23">
        <v>900</v>
      </c>
      <c r="S24" s="23" t="s">
        <v>43</v>
      </c>
      <c r="T24" s="2"/>
      <c r="U24" s="2" t="s">
        <v>181</v>
      </c>
      <c r="V24" s="2" t="s">
        <v>181</v>
      </c>
      <c r="W24" s="5" t="s">
        <v>38</v>
      </c>
    </row>
    <row r="25" spans="2:23" x14ac:dyDescent="0.3">
      <c r="B25" s="7" t="s">
        <v>45</v>
      </c>
      <c r="C25" s="23" t="s">
        <v>44</v>
      </c>
      <c r="D25" s="23">
        <v>14</v>
      </c>
      <c r="E25" s="24">
        <v>6</v>
      </c>
      <c r="F25" s="25">
        <v>8.1999999999999993</v>
      </c>
      <c r="G25" s="25">
        <v>29.8</v>
      </c>
      <c r="H25" s="26">
        <v>757</v>
      </c>
      <c r="I25" s="26">
        <v>16</v>
      </c>
      <c r="J25" s="25">
        <v>20.2</v>
      </c>
      <c r="K25" s="26">
        <v>3417</v>
      </c>
      <c r="L25" s="26">
        <v>110</v>
      </c>
      <c r="M25" s="26">
        <v>1550</v>
      </c>
      <c r="N25" s="26">
        <v>760</v>
      </c>
      <c r="O25" s="26">
        <v>3197</v>
      </c>
      <c r="P25" s="26">
        <v>110</v>
      </c>
      <c r="Q25" s="23">
        <v>1450</v>
      </c>
      <c r="R25" s="23">
        <v>760</v>
      </c>
      <c r="S25" s="23" t="s">
        <v>46</v>
      </c>
      <c r="T25" s="2"/>
      <c r="U25" s="2" t="s">
        <v>181</v>
      </c>
      <c r="V25" s="2" t="s">
        <v>181</v>
      </c>
      <c r="W25" s="5" t="s">
        <v>45</v>
      </c>
    </row>
    <row r="26" spans="2:23" x14ac:dyDescent="0.3">
      <c r="B26" s="8"/>
      <c r="C26" s="27" t="s">
        <v>47</v>
      </c>
      <c r="D26" s="27">
        <v>18</v>
      </c>
      <c r="E26" s="28">
        <v>6</v>
      </c>
      <c r="F26" s="29">
        <v>8.4</v>
      </c>
      <c r="G26" s="29">
        <v>30.3</v>
      </c>
      <c r="H26" s="30">
        <v>769</v>
      </c>
      <c r="I26" s="30">
        <v>16</v>
      </c>
      <c r="J26" s="29">
        <v>20.2</v>
      </c>
      <c r="K26" s="30">
        <v>4806</v>
      </c>
      <c r="L26" s="30">
        <v>120</v>
      </c>
      <c r="M26" s="30">
        <v>2180</v>
      </c>
      <c r="N26" s="30">
        <v>830</v>
      </c>
      <c r="O26" s="30">
        <v>4542</v>
      </c>
      <c r="P26" s="30">
        <v>120</v>
      </c>
      <c r="Q26" s="27">
        <v>2060</v>
      </c>
      <c r="R26" s="27">
        <v>830</v>
      </c>
      <c r="S26" s="27" t="s">
        <v>48</v>
      </c>
      <c r="T26" s="3"/>
      <c r="U26" s="3" t="s">
        <v>181</v>
      </c>
      <c r="V26" s="3" t="s">
        <v>181</v>
      </c>
      <c r="W26" s="5" t="s">
        <v>45</v>
      </c>
    </row>
    <row r="27" spans="2:23" x14ac:dyDescent="0.3">
      <c r="B27" s="7"/>
      <c r="C27" s="23" t="s">
        <v>49</v>
      </c>
      <c r="D27" s="23">
        <v>18</v>
      </c>
      <c r="E27" s="24">
        <v>6.75</v>
      </c>
      <c r="F27" s="25">
        <v>9.3000000000000007</v>
      </c>
      <c r="G27" s="25">
        <v>31.5</v>
      </c>
      <c r="H27" s="26">
        <v>801</v>
      </c>
      <c r="I27" s="26">
        <v>17</v>
      </c>
      <c r="J27" s="25">
        <v>21.4</v>
      </c>
      <c r="K27" s="26">
        <v>6008</v>
      </c>
      <c r="L27" s="26">
        <v>131</v>
      </c>
      <c r="M27" s="26">
        <v>2725</v>
      </c>
      <c r="N27" s="26">
        <v>900</v>
      </c>
      <c r="O27" s="26">
        <v>5677</v>
      </c>
      <c r="P27" s="26">
        <v>131</v>
      </c>
      <c r="Q27" s="23">
        <v>2575</v>
      </c>
      <c r="R27" s="23">
        <v>900</v>
      </c>
      <c r="S27" s="23" t="s">
        <v>50</v>
      </c>
      <c r="T27" s="2"/>
      <c r="U27" s="2" t="s">
        <v>181</v>
      </c>
      <c r="V27" s="2" t="s">
        <v>181</v>
      </c>
      <c r="W27" s="5" t="s">
        <v>45</v>
      </c>
    </row>
    <row r="28" spans="2:23" x14ac:dyDescent="0.3">
      <c r="B28" s="7"/>
      <c r="C28" s="23" t="s">
        <v>51</v>
      </c>
      <c r="D28" s="23">
        <v>18</v>
      </c>
      <c r="E28" s="24">
        <v>7.5</v>
      </c>
      <c r="F28" s="25">
        <v>9.9</v>
      </c>
      <c r="G28" s="25">
        <v>31.2</v>
      </c>
      <c r="H28" s="26">
        <v>792</v>
      </c>
      <c r="I28" s="26">
        <v>17</v>
      </c>
      <c r="J28" s="25">
        <v>20.8</v>
      </c>
      <c r="K28" s="26">
        <v>4938</v>
      </c>
      <c r="L28" s="26">
        <v>131</v>
      </c>
      <c r="M28" s="26">
        <v>2240</v>
      </c>
      <c r="N28" s="26">
        <v>900</v>
      </c>
      <c r="O28" s="26">
        <v>4674</v>
      </c>
      <c r="P28" s="26">
        <v>131</v>
      </c>
      <c r="Q28" s="23">
        <v>2120</v>
      </c>
      <c r="R28" s="23">
        <v>900</v>
      </c>
      <c r="S28" s="23" t="s">
        <v>52</v>
      </c>
      <c r="T28" s="2"/>
      <c r="U28" s="2" t="s">
        <v>181</v>
      </c>
      <c r="V28" s="2" t="s">
        <v>181</v>
      </c>
      <c r="W28" s="5" t="s">
        <v>45</v>
      </c>
    </row>
    <row r="29" spans="2:23" x14ac:dyDescent="0.3">
      <c r="B29" s="7" t="s">
        <v>54</v>
      </c>
      <c r="C29" s="23" t="s">
        <v>53</v>
      </c>
      <c r="D29" s="23">
        <v>16</v>
      </c>
      <c r="E29" s="24">
        <v>7.5</v>
      </c>
      <c r="F29" s="25">
        <v>10.199999999999999</v>
      </c>
      <c r="G29" s="25">
        <v>40.4</v>
      </c>
      <c r="H29" s="26">
        <v>1025</v>
      </c>
      <c r="I29" s="26">
        <v>16</v>
      </c>
      <c r="J29" s="25">
        <v>19.5</v>
      </c>
      <c r="K29" s="26">
        <v>6173</v>
      </c>
      <c r="L29" s="26">
        <v>131</v>
      </c>
      <c r="M29" s="26">
        <v>2800</v>
      </c>
      <c r="N29" s="26">
        <v>900</v>
      </c>
      <c r="O29" s="26">
        <v>5842</v>
      </c>
      <c r="P29" s="26">
        <v>131</v>
      </c>
      <c r="Q29" s="23">
        <v>2650</v>
      </c>
      <c r="R29" s="23">
        <v>900</v>
      </c>
      <c r="S29" s="23" t="s">
        <v>43</v>
      </c>
      <c r="T29" s="2"/>
      <c r="U29" s="2" t="s">
        <v>181</v>
      </c>
      <c r="V29" s="2" t="s">
        <v>181</v>
      </c>
      <c r="W29" s="5" t="s">
        <v>54</v>
      </c>
    </row>
    <row r="30" spans="2:23" x14ac:dyDescent="0.3">
      <c r="B30" s="7"/>
      <c r="C30" s="23" t="s">
        <v>27</v>
      </c>
      <c r="D30" s="23">
        <v>18</v>
      </c>
      <c r="E30" s="24">
        <v>9</v>
      </c>
      <c r="F30" s="25">
        <v>11.8</v>
      </c>
      <c r="G30" s="25">
        <v>42.9</v>
      </c>
      <c r="H30" s="26">
        <v>1090</v>
      </c>
      <c r="I30" s="26">
        <v>23</v>
      </c>
      <c r="J30" s="25">
        <v>29</v>
      </c>
      <c r="K30" s="26">
        <v>7826</v>
      </c>
      <c r="L30" s="26">
        <v>135</v>
      </c>
      <c r="M30" s="26">
        <v>3550</v>
      </c>
      <c r="N30" s="26">
        <v>930</v>
      </c>
      <c r="O30" s="26">
        <v>7165</v>
      </c>
      <c r="P30" s="26">
        <v>135</v>
      </c>
      <c r="Q30" s="23">
        <v>3250</v>
      </c>
      <c r="R30" s="23">
        <v>930</v>
      </c>
      <c r="S30" s="23" t="s">
        <v>55</v>
      </c>
      <c r="T30" s="2"/>
      <c r="U30" s="2" t="s">
        <v>181</v>
      </c>
      <c r="V30" s="2" t="s">
        <v>181</v>
      </c>
      <c r="W30" s="5" t="s">
        <v>54</v>
      </c>
    </row>
    <row r="31" spans="2:23" x14ac:dyDescent="0.3">
      <c r="B31" s="7"/>
      <c r="C31" s="23" t="s">
        <v>56</v>
      </c>
      <c r="D31" s="23">
        <v>16</v>
      </c>
      <c r="E31" s="24">
        <v>7.5</v>
      </c>
      <c r="F31" s="25">
        <v>10</v>
      </c>
      <c r="G31" s="25">
        <v>36.9</v>
      </c>
      <c r="H31" s="26">
        <v>936</v>
      </c>
      <c r="I31" s="26">
        <v>20</v>
      </c>
      <c r="J31" s="25">
        <v>25.2</v>
      </c>
      <c r="K31" s="26">
        <v>5512</v>
      </c>
      <c r="L31" s="26">
        <v>120</v>
      </c>
      <c r="M31" s="26">
        <v>2500</v>
      </c>
      <c r="N31" s="26">
        <v>830</v>
      </c>
      <c r="O31" s="26">
        <v>5071</v>
      </c>
      <c r="P31" s="26">
        <v>120</v>
      </c>
      <c r="Q31" s="23">
        <v>2300</v>
      </c>
      <c r="R31" s="23">
        <v>830</v>
      </c>
      <c r="S31" s="23" t="s">
        <v>57</v>
      </c>
      <c r="T31" s="2"/>
      <c r="U31" s="2" t="s">
        <v>181</v>
      </c>
      <c r="V31" s="2" t="s">
        <v>181</v>
      </c>
      <c r="W31" s="5" t="s">
        <v>54</v>
      </c>
    </row>
    <row r="32" spans="2:23" x14ac:dyDescent="0.3">
      <c r="B32" s="7"/>
      <c r="C32" s="23" t="s">
        <v>29</v>
      </c>
      <c r="D32" s="23">
        <v>18</v>
      </c>
      <c r="E32" s="24">
        <v>8.25</v>
      </c>
      <c r="F32" s="25">
        <v>10.8</v>
      </c>
      <c r="G32" s="25">
        <v>38.4</v>
      </c>
      <c r="H32" s="26">
        <v>975</v>
      </c>
      <c r="I32" s="26">
        <v>20</v>
      </c>
      <c r="J32" s="25">
        <v>25.2</v>
      </c>
      <c r="K32" s="26">
        <v>6945</v>
      </c>
      <c r="L32" s="26">
        <v>131</v>
      </c>
      <c r="M32" s="26">
        <v>3150</v>
      </c>
      <c r="N32" s="26">
        <v>900</v>
      </c>
      <c r="O32" s="26">
        <v>6393</v>
      </c>
      <c r="P32" s="26">
        <v>131</v>
      </c>
      <c r="Q32" s="23">
        <v>2900</v>
      </c>
      <c r="R32" s="23">
        <v>900</v>
      </c>
      <c r="S32" s="23" t="s">
        <v>58</v>
      </c>
      <c r="T32" s="2"/>
      <c r="U32" s="2" t="s">
        <v>181</v>
      </c>
      <c r="V32" s="2" t="s">
        <v>181</v>
      </c>
      <c r="W32" s="5" t="s">
        <v>54</v>
      </c>
    </row>
    <row r="33" spans="2:23" x14ac:dyDescent="0.3">
      <c r="B33" s="7" t="s">
        <v>59</v>
      </c>
      <c r="C33" s="23" t="s">
        <v>11</v>
      </c>
      <c r="D33" s="23">
        <v>16</v>
      </c>
      <c r="E33" s="24">
        <v>8.25</v>
      </c>
      <c r="F33" s="25">
        <v>10.9</v>
      </c>
      <c r="G33" s="25">
        <v>41.9</v>
      </c>
      <c r="H33" s="26">
        <v>1063</v>
      </c>
      <c r="I33" s="26">
        <v>21</v>
      </c>
      <c r="J33" s="25">
        <v>26</v>
      </c>
      <c r="K33" s="26">
        <v>6614</v>
      </c>
      <c r="L33" s="26">
        <v>120</v>
      </c>
      <c r="M33" s="26">
        <v>3000</v>
      </c>
      <c r="N33" s="26">
        <v>830</v>
      </c>
      <c r="O33" s="26">
        <v>6008</v>
      </c>
      <c r="P33" s="26">
        <v>120</v>
      </c>
      <c r="Q33" s="23">
        <v>2725</v>
      </c>
      <c r="R33" s="23">
        <v>830</v>
      </c>
      <c r="S33" s="23" t="s">
        <v>60</v>
      </c>
      <c r="T33" s="2"/>
      <c r="U33" s="2" t="s">
        <v>181</v>
      </c>
      <c r="V33" s="2"/>
      <c r="W33" s="5" t="s">
        <v>59</v>
      </c>
    </row>
    <row r="34" spans="2:23" x14ac:dyDescent="0.3">
      <c r="B34" s="7"/>
      <c r="C34" s="23" t="s">
        <v>22</v>
      </c>
      <c r="D34" s="23">
        <v>16</v>
      </c>
      <c r="E34" s="24">
        <v>8.25</v>
      </c>
      <c r="F34" s="25">
        <v>11.1</v>
      </c>
      <c r="G34" s="25">
        <v>43.5</v>
      </c>
      <c r="H34" s="26">
        <v>1104</v>
      </c>
      <c r="I34" s="26">
        <v>21</v>
      </c>
      <c r="J34" s="25">
        <v>26</v>
      </c>
      <c r="K34" s="26">
        <v>7165</v>
      </c>
      <c r="L34" s="26">
        <v>120</v>
      </c>
      <c r="M34" s="26">
        <v>3250</v>
      </c>
      <c r="N34" s="26">
        <v>830</v>
      </c>
      <c r="O34" s="26">
        <v>6614</v>
      </c>
      <c r="P34" s="26">
        <v>120</v>
      </c>
      <c r="Q34" s="23">
        <v>3000</v>
      </c>
      <c r="R34" s="23">
        <v>830</v>
      </c>
      <c r="S34" s="23" t="s">
        <v>61</v>
      </c>
      <c r="T34" s="2"/>
      <c r="U34" s="2" t="s">
        <v>181</v>
      </c>
      <c r="V34" s="2"/>
      <c r="W34" s="5" t="s">
        <v>59</v>
      </c>
    </row>
    <row r="35" spans="2:23" x14ac:dyDescent="0.3">
      <c r="B35" s="7" t="s">
        <v>63</v>
      </c>
      <c r="C35" s="23" t="s">
        <v>62</v>
      </c>
      <c r="D35" s="23">
        <v>18</v>
      </c>
      <c r="E35" s="24">
        <v>9</v>
      </c>
      <c r="F35" s="25">
        <v>12.3</v>
      </c>
      <c r="G35" s="25">
        <v>40.5</v>
      </c>
      <c r="H35" s="26">
        <v>1029</v>
      </c>
      <c r="I35" s="26">
        <v>23</v>
      </c>
      <c r="J35" s="25">
        <v>29</v>
      </c>
      <c r="K35" s="26">
        <v>7606</v>
      </c>
      <c r="L35" s="26">
        <v>120</v>
      </c>
      <c r="M35" s="26">
        <v>3450</v>
      </c>
      <c r="N35" s="26">
        <v>830</v>
      </c>
      <c r="O35" s="26">
        <v>6945</v>
      </c>
      <c r="P35" s="26">
        <v>120</v>
      </c>
      <c r="Q35" s="23">
        <v>3150</v>
      </c>
      <c r="R35" s="23">
        <v>830</v>
      </c>
      <c r="S35" s="23" t="s">
        <v>64</v>
      </c>
      <c r="T35" s="2"/>
      <c r="U35" s="2" t="s">
        <v>181</v>
      </c>
      <c r="V35" s="2" t="s">
        <v>181</v>
      </c>
      <c r="W35" s="5" t="s">
        <v>63</v>
      </c>
    </row>
    <row r="36" spans="2:23" x14ac:dyDescent="0.3">
      <c r="B36" s="7"/>
      <c r="C36" s="23" t="s">
        <v>16</v>
      </c>
      <c r="D36" s="23">
        <v>20</v>
      </c>
      <c r="E36" s="24">
        <v>9</v>
      </c>
      <c r="F36" s="25">
        <v>12.6</v>
      </c>
      <c r="G36" s="25">
        <v>43.1</v>
      </c>
      <c r="H36" s="26">
        <v>1094</v>
      </c>
      <c r="I36" s="26">
        <v>23</v>
      </c>
      <c r="J36" s="25">
        <v>29</v>
      </c>
      <c r="K36" s="26">
        <v>9094</v>
      </c>
      <c r="L36" s="26">
        <v>131</v>
      </c>
      <c r="M36" s="26">
        <v>4125</v>
      </c>
      <c r="N36" s="26">
        <v>900</v>
      </c>
      <c r="O36" s="26">
        <v>8267</v>
      </c>
      <c r="P36" s="26">
        <v>131</v>
      </c>
      <c r="Q36" s="23">
        <v>3750</v>
      </c>
      <c r="R36" s="23">
        <v>900</v>
      </c>
      <c r="S36" s="23" t="s">
        <v>32</v>
      </c>
      <c r="T36" s="2"/>
      <c r="U36" s="2" t="s">
        <v>181</v>
      </c>
      <c r="V36" s="2" t="s">
        <v>181</v>
      </c>
      <c r="W36" s="5" t="s">
        <v>63</v>
      </c>
    </row>
    <row r="37" spans="2:23" x14ac:dyDescent="0.3">
      <c r="B37" s="7" t="s">
        <v>65</v>
      </c>
      <c r="C37" s="23" t="s">
        <v>27</v>
      </c>
      <c r="D37" s="23">
        <v>18</v>
      </c>
      <c r="E37" s="24">
        <v>9</v>
      </c>
      <c r="F37" s="25">
        <v>11.9</v>
      </c>
      <c r="G37" s="25">
        <v>43.1</v>
      </c>
      <c r="H37" s="26">
        <v>1096</v>
      </c>
      <c r="I37" s="26">
        <v>23</v>
      </c>
      <c r="J37" s="25">
        <v>28.3</v>
      </c>
      <c r="K37" s="26">
        <v>7826</v>
      </c>
      <c r="L37" s="26">
        <v>135</v>
      </c>
      <c r="M37" s="26">
        <v>3550</v>
      </c>
      <c r="N37" s="26">
        <v>930</v>
      </c>
      <c r="O37" s="26">
        <v>7165</v>
      </c>
      <c r="P37" s="26">
        <v>135</v>
      </c>
      <c r="Q37" s="23">
        <v>3250</v>
      </c>
      <c r="R37" s="23">
        <v>930</v>
      </c>
      <c r="S37" s="23" t="s">
        <v>55</v>
      </c>
      <c r="T37" s="2"/>
      <c r="U37" s="2" t="s">
        <v>181</v>
      </c>
      <c r="V37" s="2"/>
      <c r="W37" s="5" t="s">
        <v>65</v>
      </c>
    </row>
    <row r="38" spans="2:23" x14ac:dyDescent="0.3">
      <c r="B38" s="7"/>
      <c r="C38" s="23" t="s">
        <v>66</v>
      </c>
      <c r="D38" s="23">
        <v>18</v>
      </c>
      <c r="E38" s="24">
        <v>7.5</v>
      </c>
      <c r="F38" s="25">
        <v>9.8000000000000007</v>
      </c>
      <c r="G38" s="25">
        <v>33.700000000000003</v>
      </c>
      <c r="H38" s="26">
        <v>855</v>
      </c>
      <c r="I38" s="26">
        <v>17</v>
      </c>
      <c r="J38" s="25">
        <v>21.4</v>
      </c>
      <c r="K38" s="26">
        <v>6173</v>
      </c>
      <c r="L38" s="26">
        <v>131</v>
      </c>
      <c r="M38" s="26">
        <v>2800</v>
      </c>
      <c r="N38" s="26">
        <v>900</v>
      </c>
      <c r="O38" s="26">
        <v>5842</v>
      </c>
      <c r="P38" s="26">
        <v>131</v>
      </c>
      <c r="Q38" s="23">
        <v>2650</v>
      </c>
      <c r="R38" s="23">
        <v>900</v>
      </c>
      <c r="S38" s="23" t="s">
        <v>67</v>
      </c>
      <c r="T38" s="2"/>
      <c r="U38" s="2" t="s">
        <v>181</v>
      </c>
      <c r="V38" s="2" t="s">
        <v>181</v>
      </c>
      <c r="W38" s="5" t="s">
        <v>65</v>
      </c>
    </row>
    <row r="39" spans="2:23" x14ac:dyDescent="0.3">
      <c r="B39" s="7" t="s">
        <v>68</v>
      </c>
      <c r="C39" s="23" t="s">
        <v>62</v>
      </c>
      <c r="D39" s="23">
        <v>18</v>
      </c>
      <c r="E39" s="24">
        <v>9</v>
      </c>
      <c r="F39" s="25">
        <v>12.4</v>
      </c>
      <c r="G39" s="25">
        <v>40.700000000000003</v>
      </c>
      <c r="H39" s="26">
        <v>1033</v>
      </c>
      <c r="I39" s="26">
        <v>24</v>
      </c>
      <c r="J39" s="25">
        <v>30.2</v>
      </c>
      <c r="K39" s="26">
        <v>7606</v>
      </c>
      <c r="L39" s="26">
        <v>120</v>
      </c>
      <c r="M39" s="26">
        <v>3450</v>
      </c>
      <c r="N39" s="26">
        <v>830</v>
      </c>
      <c r="O39" s="26">
        <v>6945</v>
      </c>
      <c r="P39" s="26">
        <v>120</v>
      </c>
      <c r="Q39" s="23">
        <v>3150</v>
      </c>
      <c r="R39" s="23">
        <v>830</v>
      </c>
      <c r="S39" s="23" t="s">
        <v>64</v>
      </c>
      <c r="T39" s="2"/>
      <c r="U39" s="2" t="s">
        <v>181</v>
      </c>
      <c r="V39" s="2" t="s">
        <v>181</v>
      </c>
      <c r="W39" s="5" t="s">
        <v>68</v>
      </c>
    </row>
    <row r="40" spans="2:23" x14ac:dyDescent="0.3">
      <c r="B40" s="7"/>
      <c r="C40" s="23" t="s">
        <v>16</v>
      </c>
      <c r="D40" s="23">
        <v>18</v>
      </c>
      <c r="E40" s="24">
        <v>9</v>
      </c>
      <c r="F40" s="25">
        <v>12.6</v>
      </c>
      <c r="G40" s="25">
        <v>43.2</v>
      </c>
      <c r="H40" s="26">
        <v>1096</v>
      </c>
      <c r="I40" s="26">
        <v>24</v>
      </c>
      <c r="J40" s="25">
        <v>30.2</v>
      </c>
      <c r="K40" s="26">
        <v>8267</v>
      </c>
      <c r="L40" s="26">
        <v>120</v>
      </c>
      <c r="M40" s="26">
        <v>3750</v>
      </c>
      <c r="N40" s="26">
        <v>830</v>
      </c>
      <c r="O40" s="26">
        <v>7606</v>
      </c>
      <c r="P40" s="26">
        <v>120</v>
      </c>
      <c r="Q40" s="23">
        <v>3450</v>
      </c>
      <c r="R40" s="23">
        <v>830</v>
      </c>
      <c r="S40" s="23" t="s">
        <v>31</v>
      </c>
      <c r="T40" s="2"/>
      <c r="U40" s="2" t="s">
        <v>181</v>
      </c>
      <c r="V40" s="2" t="s">
        <v>181</v>
      </c>
      <c r="W40" s="5" t="s">
        <v>68</v>
      </c>
    </row>
    <row r="41" spans="2:23" x14ac:dyDescent="0.3">
      <c r="B41" s="7"/>
      <c r="C41" s="23" t="s">
        <v>16</v>
      </c>
      <c r="D41" s="23">
        <v>20</v>
      </c>
      <c r="E41" s="24">
        <v>9</v>
      </c>
      <c r="F41" s="25">
        <v>12.6</v>
      </c>
      <c r="G41" s="25">
        <v>43.2</v>
      </c>
      <c r="H41" s="26">
        <v>1096</v>
      </c>
      <c r="I41" s="26">
        <v>24</v>
      </c>
      <c r="J41" s="25">
        <v>30.2</v>
      </c>
      <c r="K41" s="26">
        <v>9094</v>
      </c>
      <c r="L41" s="26">
        <v>131</v>
      </c>
      <c r="M41" s="26">
        <v>4125</v>
      </c>
      <c r="N41" s="26">
        <v>900</v>
      </c>
      <c r="O41" s="26">
        <v>8267</v>
      </c>
      <c r="P41" s="26">
        <v>131</v>
      </c>
      <c r="Q41" s="23">
        <v>3750</v>
      </c>
      <c r="R41" s="23">
        <v>900</v>
      </c>
      <c r="S41" s="23" t="s">
        <v>32</v>
      </c>
      <c r="T41" s="2"/>
      <c r="U41" s="2" t="s">
        <v>181</v>
      </c>
      <c r="V41" s="2" t="s">
        <v>181</v>
      </c>
      <c r="W41" s="5" t="s">
        <v>68</v>
      </c>
    </row>
    <row r="42" spans="2:23" x14ac:dyDescent="0.3">
      <c r="B42" s="7" t="s">
        <v>69</v>
      </c>
      <c r="C42" s="23" t="s">
        <v>11</v>
      </c>
      <c r="D42" s="23">
        <v>16</v>
      </c>
      <c r="E42" s="24">
        <v>8.25</v>
      </c>
      <c r="F42" s="25">
        <v>10.9</v>
      </c>
      <c r="G42" s="25">
        <v>41.9</v>
      </c>
      <c r="H42" s="26">
        <v>1065</v>
      </c>
      <c r="I42" s="26">
        <v>21</v>
      </c>
      <c r="J42" s="25">
        <v>26.5</v>
      </c>
      <c r="K42" s="26">
        <v>6614</v>
      </c>
      <c r="L42" s="26">
        <v>120</v>
      </c>
      <c r="M42" s="26">
        <v>3000</v>
      </c>
      <c r="N42" s="26">
        <v>830</v>
      </c>
      <c r="O42" s="26">
        <v>6008</v>
      </c>
      <c r="P42" s="26">
        <v>120</v>
      </c>
      <c r="Q42" s="23">
        <v>2725</v>
      </c>
      <c r="R42" s="23">
        <v>830</v>
      </c>
      <c r="S42" s="23" t="s">
        <v>60</v>
      </c>
      <c r="T42" s="2"/>
      <c r="U42" s="2" t="s">
        <v>181</v>
      </c>
      <c r="V42" s="2" t="s">
        <v>181</v>
      </c>
      <c r="W42" s="5" t="s">
        <v>69</v>
      </c>
    </row>
    <row r="43" spans="2:23" x14ac:dyDescent="0.3">
      <c r="B43" s="7"/>
      <c r="C43" s="23" t="s">
        <v>22</v>
      </c>
      <c r="D43" s="23">
        <v>16</v>
      </c>
      <c r="E43" s="24">
        <v>8.25</v>
      </c>
      <c r="F43" s="25">
        <v>11.4</v>
      </c>
      <c r="G43" s="25">
        <v>43.5</v>
      </c>
      <c r="H43" s="26">
        <v>1105</v>
      </c>
      <c r="I43" s="26">
        <v>21</v>
      </c>
      <c r="J43" s="25">
        <v>26.5</v>
      </c>
      <c r="K43" s="26">
        <v>7165</v>
      </c>
      <c r="L43" s="26">
        <v>120</v>
      </c>
      <c r="M43" s="26">
        <v>3250</v>
      </c>
      <c r="N43" s="26">
        <v>830</v>
      </c>
      <c r="O43" s="26">
        <v>6614</v>
      </c>
      <c r="P43" s="26">
        <v>120</v>
      </c>
      <c r="Q43" s="23">
        <v>3000</v>
      </c>
      <c r="R43" s="23">
        <v>830</v>
      </c>
      <c r="S43" s="23" t="s">
        <v>61</v>
      </c>
      <c r="T43" s="2"/>
      <c r="U43" s="2" t="s">
        <v>181</v>
      </c>
      <c r="V43" s="2" t="s">
        <v>181</v>
      </c>
      <c r="W43" s="5" t="s">
        <v>69</v>
      </c>
    </row>
    <row r="44" spans="2:23" x14ac:dyDescent="0.3">
      <c r="B44" s="7" t="s">
        <v>71</v>
      </c>
      <c r="C44" s="23" t="s">
        <v>70</v>
      </c>
      <c r="D44" s="23">
        <v>14</v>
      </c>
      <c r="E44" s="24">
        <v>6.75</v>
      </c>
      <c r="F44" s="25">
        <v>8.9</v>
      </c>
      <c r="G44" s="25">
        <v>32</v>
      </c>
      <c r="H44" s="26">
        <v>812</v>
      </c>
      <c r="I44" s="26">
        <v>15</v>
      </c>
      <c r="J44" s="25">
        <v>18.899999999999999</v>
      </c>
      <c r="K44" s="26">
        <v>3968</v>
      </c>
      <c r="L44" s="26">
        <v>110</v>
      </c>
      <c r="M44" s="26">
        <v>1800</v>
      </c>
      <c r="N44" s="26">
        <v>760</v>
      </c>
      <c r="O44" s="26">
        <v>3748</v>
      </c>
      <c r="P44" s="26">
        <v>110</v>
      </c>
      <c r="Q44" s="23">
        <v>1700</v>
      </c>
      <c r="R44" s="23">
        <v>760</v>
      </c>
      <c r="S44" s="23" t="s">
        <v>72</v>
      </c>
      <c r="T44" s="2"/>
      <c r="U44" s="2" t="s">
        <v>181</v>
      </c>
      <c r="V44" s="2" t="s">
        <v>181</v>
      </c>
      <c r="W44" s="5" t="s">
        <v>71</v>
      </c>
    </row>
    <row r="45" spans="2:23" x14ac:dyDescent="0.3">
      <c r="B45" s="8"/>
      <c r="C45" s="27" t="s">
        <v>66</v>
      </c>
      <c r="D45" s="27">
        <v>16</v>
      </c>
      <c r="E45" s="28">
        <v>7.5</v>
      </c>
      <c r="F45" s="29">
        <v>9.8000000000000007</v>
      </c>
      <c r="G45" s="29">
        <v>33.299999999999997</v>
      </c>
      <c r="H45" s="30">
        <v>845</v>
      </c>
      <c r="I45" s="30">
        <v>16</v>
      </c>
      <c r="J45" s="29">
        <v>19.5</v>
      </c>
      <c r="K45" s="30">
        <v>4938</v>
      </c>
      <c r="L45" s="30">
        <v>120</v>
      </c>
      <c r="M45" s="30">
        <v>2240</v>
      </c>
      <c r="N45" s="30">
        <v>830</v>
      </c>
      <c r="O45" s="30">
        <v>4674</v>
      </c>
      <c r="P45" s="30">
        <v>120</v>
      </c>
      <c r="Q45" s="27">
        <v>2120</v>
      </c>
      <c r="R45" s="27">
        <v>830</v>
      </c>
      <c r="S45" s="27" t="s">
        <v>52</v>
      </c>
      <c r="T45" s="3"/>
      <c r="U45" s="3" t="s">
        <v>181</v>
      </c>
      <c r="V45" s="3" t="s">
        <v>181</v>
      </c>
      <c r="W45" s="5" t="s">
        <v>71</v>
      </c>
    </row>
    <row r="46" spans="2:23" x14ac:dyDescent="0.3">
      <c r="B46" s="7" t="s">
        <v>73</v>
      </c>
      <c r="C46" s="23" t="s">
        <v>37</v>
      </c>
      <c r="D46" s="23">
        <v>16</v>
      </c>
      <c r="E46" s="24">
        <v>7.5</v>
      </c>
      <c r="F46" s="25">
        <v>10.7</v>
      </c>
      <c r="G46" s="25">
        <v>41.4</v>
      </c>
      <c r="H46" s="26">
        <v>1051</v>
      </c>
      <c r="I46" s="26">
        <v>17</v>
      </c>
      <c r="J46" s="25">
        <v>20.8</v>
      </c>
      <c r="K46" s="26">
        <v>6614</v>
      </c>
      <c r="L46" s="26">
        <v>120</v>
      </c>
      <c r="M46" s="26">
        <v>3000</v>
      </c>
      <c r="N46" s="26">
        <v>830</v>
      </c>
      <c r="O46" s="26">
        <v>6008</v>
      </c>
      <c r="P46" s="26">
        <v>120</v>
      </c>
      <c r="Q46" s="23">
        <v>2725</v>
      </c>
      <c r="R46" s="23">
        <v>830</v>
      </c>
      <c r="S46" s="23" t="s">
        <v>13</v>
      </c>
      <c r="T46" s="2"/>
      <c r="U46" s="2" t="s">
        <v>181</v>
      </c>
      <c r="V46" s="2" t="s">
        <v>181</v>
      </c>
      <c r="W46" s="5" t="s">
        <v>73</v>
      </c>
    </row>
    <row r="47" spans="2:23" x14ac:dyDescent="0.3">
      <c r="B47" s="7"/>
      <c r="C47" s="23" t="s">
        <v>37</v>
      </c>
      <c r="D47" s="23">
        <v>18</v>
      </c>
      <c r="E47" s="24">
        <v>7.5</v>
      </c>
      <c r="F47" s="25">
        <v>10.9</v>
      </c>
      <c r="G47" s="25">
        <v>41.5</v>
      </c>
      <c r="H47" s="26">
        <v>1053</v>
      </c>
      <c r="I47" s="26">
        <v>17</v>
      </c>
      <c r="J47" s="25">
        <v>20.8</v>
      </c>
      <c r="K47" s="26">
        <v>7165</v>
      </c>
      <c r="L47" s="26">
        <v>135</v>
      </c>
      <c r="M47" s="26">
        <v>3250</v>
      </c>
      <c r="N47" s="26">
        <v>930</v>
      </c>
      <c r="O47" s="26">
        <v>6614</v>
      </c>
      <c r="P47" s="26">
        <v>135</v>
      </c>
      <c r="Q47" s="23">
        <v>3000</v>
      </c>
      <c r="R47" s="23">
        <v>930</v>
      </c>
      <c r="S47" s="23" t="s">
        <v>39</v>
      </c>
      <c r="T47" s="2"/>
      <c r="U47" s="2" t="s">
        <v>181</v>
      </c>
      <c r="V47" s="2" t="s">
        <v>181</v>
      </c>
      <c r="W47" s="5" t="s">
        <v>73</v>
      </c>
    </row>
    <row r="48" spans="2:23" x14ac:dyDescent="0.3">
      <c r="B48" s="7"/>
      <c r="C48" s="23" t="s">
        <v>18</v>
      </c>
      <c r="D48" s="23">
        <v>18</v>
      </c>
      <c r="E48" s="24">
        <v>8</v>
      </c>
      <c r="F48" s="25">
        <v>11.4</v>
      </c>
      <c r="G48" s="25">
        <v>42.8</v>
      </c>
      <c r="H48" s="26">
        <v>1087</v>
      </c>
      <c r="I48" s="26">
        <v>17</v>
      </c>
      <c r="J48" s="25">
        <v>21.4</v>
      </c>
      <c r="K48" s="26">
        <v>7826</v>
      </c>
      <c r="L48" s="26">
        <v>135</v>
      </c>
      <c r="M48" s="26">
        <v>3550</v>
      </c>
      <c r="N48" s="26">
        <v>930</v>
      </c>
      <c r="O48" s="26">
        <v>7165</v>
      </c>
      <c r="P48" s="26">
        <v>135</v>
      </c>
      <c r="Q48" s="23">
        <v>3250</v>
      </c>
      <c r="R48" s="23">
        <v>930</v>
      </c>
      <c r="S48" s="23" t="s">
        <v>20</v>
      </c>
      <c r="T48" s="2"/>
      <c r="U48" s="2" t="s">
        <v>181</v>
      </c>
      <c r="V48" s="2" t="s">
        <v>181</v>
      </c>
      <c r="W48" s="5" t="s">
        <v>73</v>
      </c>
    </row>
    <row r="49" spans="2:23" x14ac:dyDescent="0.3">
      <c r="B49" s="7"/>
      <c r="C49" s="23" t="s">
        <v>18</v>
      </c>
      <c r="D49" s="23">
        <v>16</v>
      </c>
      <c r="E49" s="24">
        <v>8</v>
      </c>
      <c r="F49" s="25">
        <v>11.3</v>
      </c>
      <c r="G49" s="25">
        <v>42.7</v>
      </c>
      <c r="H49" s="26">
        <v>1086</v>
      </c>
      <c r="I49" s="26">
        <v>17</v>
      </c>
      <c r="J49" s="25">
        <v>21.4</v>
      </c>
      <c r="K49" s="26">
        <v>7385</v>
      </c>
      <c r="L49" s="26">
        <v>120</v>
      </c>
      <c r="M49" s="26">
        <v>3350</v>
      </c>
      <c r="N49" s="26">
        <v>830</v>
      </c>
      <c r="O49" s="26">
        <v>6779</v>
      </c>
      <c r="P49" s="26">
        <v>120</v>
      </c>
      <c r="Q49" s="23">
        <v>3075</v>
      </c>
      <c r="R49" s="23">
        <v>830</v>
      </c>
      <c r="S49" s="23" t="s">
        <v>74</v>
      </c>
      <c r="T49" s="2"/>
      <c r="U49" s="2" t="s">
        <v>181</v>
      </c>
      <c r="V49" s="2" t="s">
        <v>181</v>
      </c>
      <c r="W49" s="5" t="s">
        <v>73</v>
      </c>
    </row>
    <row r="50" spans="2:23" x14ac:dyDescent="0.3">
      <c r="B50" s="7"/>
      <c r="C50" s="23" t="s">
        <v>11</v>
      </c>
      <c r="D50" s="23">
        <v>16</v>
      </c>
      <c r="E50" s="24">
        <v>8.25</v>
      </c>
      <c r="F50" s="25">
        <v>10.9</v>
      </c>
      <c r="G50" s="25">
        <v>41.5</v>
      </c>
      <c r="H50" s="26">
        <v>1055</v>
      </c>
      <c r="I50" s="26">
        <v>17</v>
      </c>
      <c r="J50" s="25">
        <v>21.4</v>
      </c>
      <c r="K50" s="26">
        <v>6614</v>
      </c>
      <c r="L50" s="26">
        <v>120</v>
      </c>
      <c r="M50" s="26">
        <v>3000</v>
      </c>
      <c r="N50" s="26">
        <v>830</v>
      </c>
      <c r="O50" s="26">
        <v>6008</v>
      </c>
      <c r="P50" s="26">
        <v>120</v>
      </c>
      <c r="Q50" s="23">
        <v>2725</v>
      </c>
      <c r="R50" s="23">
        <v>830</v>
      </c>
      <c r="S50" s="23" t="s">
        <v>21</v>
      </c>
      <c r="T50" s="2"/>
      <c r="U50" s="2" t="s">
        <v>181</v>
      </c>
      <c r="V50" s="2" t="s">
        <v>181</v>
      </c>
      <c r="W50" s="5" t="s">
        <v>73</v>
      </c>
    </row>
    <row r="51" spans="2:23" x14ac:dyDescent="0.3">
      <c r="B51" s="7"/>
      <c r="C51" s="23" t="s">
        <v>22</v>
      </c>
      <c r="D51" s="23">
        <v>16</v>
      </c>
      <c r="E51" s="24">
        <v>8.25</v>
      </c>
      <c r="F51" s="25">
        <v>11.4</v>
      </c>
      <c r="G51" s="25">
        <v>43.1</v>
      </c>
      <c r="H51" s="26">
        <v>1094</v>
      </c>
      <c r="I51" s="26">
        <v>17</v>
      </c>
      <c r="J51" s="25">
        <v>20.8</v>
      </c>
      <c r="K51" s="26">
        <v>7165</v>
      </c>
      <c r="L51" s="26">
        <v>120</v>
      </c>
      <c r="M51" s="26">
        <v>3250</v>
      </c>
      <c r="N51" s="26">
        <v>830</v>
      </c>
      <c r="O51" s="26">
        <v>6614</v>
      </c>
      <c r="P51" s="26">
        <v>120</v>
      </c>
      <c r="Q51" s="23">
        <v>3000</v>
      </c>
      <c r="R51" s="23">
        <v>830</v>
      </c>
      <c r="S51" s="23" t="s">
        <v>23</v>
      </c>
      <c r="T51" s="2"/>
      <c r="U51" s="2"/>
      <c r="V51" s="2"/>
      <c r="W51" s="5" t="s">
        <v>73</v>
      </c>
    </row>
    <row r="52" spans="2:23" x14ac:dyDescent="0.3">
      <c r="B52" s="7"/>
      <c r="C52" s="23" t="s">
        <v>24</v>
      </c>
      <c r="D52" s="23">
        <v>20</v>
      </c>
      <c r="E52" s="24">
        <v>8.5</v>
      </c>
      <c r="F52" s="25">
        <v>11.9</v>
      </c>
      <c r="G52" s="25">
        <v>44.1</v>
      </c>
      <c r="H52" s="26">
        <v>1121</v>
      </c>
      <c r="I52" s="26">
        <v>18</v>
      </c>
      <c r="J52" s="25">
        <v>22</v>
      </c>
      <c r="K52" s="26">
        <v>8818</v>
      </c>
      <c r="L52" s="26">
        <v>131</v>
      </c>
      <c r="M52" s="26">
        <v>4000</v>
      </c>
      <c r="N52" s="26">
        <v>900</v>
      </c>
      <c r="O52" s="26">
        <v>8047</v>
      </c>
      <c r="P52" s="26">
        <v>131</v>
      </c>
      <c r="Q52" s="23">
        <v>3650</v>
      </c>
      <c r="R52" s="23">
        <v>900</v>
      </c>
      <c r="S52" s="23" t="s">
        <v>75</v>
      </c>
      <c r="T52" s="2"/>
      <c r="U52" s="2" t="s">
        <v>181</v>
      </c>
      <c r="V52" s="2" t="s">
        <v>181</v>
      </c>
      <c r="W52" s="5" t="s">
        <v>73</v>
      </c>
    </row>
    <row r="53" spans="2:23" x14ac:dyDescent="0.3">
      <c r="B53" s="7"/>
      <c r="C53" s="23" t="s">
        <v>25</v>
      </c>
      <c r="D53" s="23">
        <v>20</v>
      </c>
      <c r="E53" s="24">
        <v>8.5</v>
      </c>
      <c r="F53" s="25">
        <v>12.4</v>
      </c>
      <c r="G53" s="25">
        <v>48.1</v>
      </c>
      <c r="H53" s="26">
        <v>1221</v>
      </c>
      <c r="I53" s="26">
        <v>18</v>
      </c>
      <c r="J53" s="25">
        <v>22</v>
      </c>
      <c r="K53" s="26">
        <v>9921</v>
      </c>
      <c r="L53" s="26">
        <v>131</v>
      </c>
      <c r="M53" s="26">
        <v>4500</v>
      </c>
      <c r="N53" s="26">
        <v>900</v>
      </c>
      <c r="O53" s="26">
        <v>9094</v>
      </c>
      <c r="P53" s="26">
        <v>131</v>
      </c>
      <c r="Q53" s="23">
        <v>4125</v>
      </c>
      <c r="R53" s="23">
        <v>900</v>
      </c>
      <c r="S53" s="23" t="s">
        <v>26</v>
      </c>
      <c r="T53" s="2"/>
      <c r="U53" s="2" t="s">
        <v>181</v>
      </c>
      <c r="V53" s="2" t="s">
        <v>181</v>
      </c>
      <c r="W53" s="5" t="s">
        <v>73</v>
      </c>
    </row>
    <row r="54" spans="2:23" x14ac:dyDescent="0.3">
      <c r="B54" s="7"/>
      <c r="C54" s="23" t="s">
        <v>27</v>
      </c>
      <c r="D54" s="23">
        <v>18</v>
      </c>
      <c r="E54" s="24">
        <v>9</v>
      </c>
      <c r="F54" s="25">
        <v>12.1</v>
      </c>
      <c r="G54" s="25">
        <v>42.4</v>
      </c>
      <c r="H54" s="26">
        <v>1077</v>
      </c>
      <c r="I54" s="26">
        <v>17</v>
      </c>
      <c r="J54" s="25">
        <v>21.4</v>
      </c>
      <c r="K54" s="26">
        <v>7826</v>
      </c>
      <c r="L54" s="26">
        <v>135</v>
      </c>
      <c r="M54" s="26">
        <v>3550</v>
      </c>
      <c r="N54" s="26">
        <v>930</v>
      </c>
      <c r="O54" s="26">
        <v>7165</v>
      </c>
      <c r="P54" s="26">
        <v>135</v>
      </c>
      <c r="Q54" s="23">
        <v>3250</v>
      </c>
      <c r="R54" s="23">
        <v>930</v>
      </c>
      <c r="S54" s="23" t="s">
        <v>28</v>
      </c>
      <c r="T54" s="2"/>
      <c r="U54" s="2" t="s">
        <v>181</v>
      </c>
      <c r="V54" s="2" t="s">
        <v>181</v>
      </c>
      <c r="W54" s="5" t="s">
        <v>73</v>
      </c>
    </row>
    <row r="55" spans="2:23" x14ac:dyDescent="0.3">
      <c r="B55" s="7"/>
      <c r="C55" s="23" t="s">
        <v>35</v>
      </c>
      <c r="D55" s="23">
        <v>18</v>
      </c>
      <c r="E55" s="24">
        <v>9</v>
      </c>
      <c r="F55" s="25">
        <v>11.9</v>
      </c>
      <c r="G55" s="25">
        <v>44.4</v>
      </c>
      <c r="H55" s="26">
        <v>1127</v>
      </c>
      <c r="I55" s="26">
        <v>17</v>
      </c>
      <c r="J55" s="25">
        <v>21.4</v>
      </c>
      <c r="K55" s="26">
        <v>8267</v>
      </c>
      <c r="L55" s="26">
        <v>135</v>
      </c>
      <c r="M55" s="26">
        <v>3750</v>
      </c>
      <c r="N55" s="26">
        <v>930</v>
      </c>
      <c r="O55" s="26">
        <v>7606</v>
      </c>
      <c r="P55" s="26">
        <v>135</v>
      </c>
      <c r="Q55" s="23">
        <v>3450</v>
      </c>
      <c r="R55" s="23">
        <v>930</v>
      </c>
      <c r="S55" s="23" t="s">
        <v>76</v>
      </c>
      <c r="T55" s="2"/>
      <c r="U55" s="2"/>
      <c r="V55" s="2"/>
      <c r="W55" s="5" t="s">
        <v>73</v>
      </c>
    </row>
    <row r="56" spans="2:23" x14ac:dyDescent="0.3">
      <c r="B56" s="7"/>
      <c r="C56" s="23" t="s">
        <v>16</v>
      </c>
      <c r="D56" s="23">
        <v>20</v>
      </c>
      <c r="E56" s="24">
        <v>9</v>
      </c>
      <c r="F56" s="25">
        <v>12.6</v>
      </c>
      <c r="G56" s="25">
        <v>42.5</v>
      </c>
      <c r="H56" s="26">
        <v>1081</v>
      </c>
      <c r="I56" s="26">
        <v>17</v>
      </c>
      <c r="J56" s="25">
        <v>20.8</v>
      </c>
      <c r="K56" s="26">
        <v>10196</v>
      </c>
      <c r="L56" s="26">
        <v>131</v>
      </c>
      <c r="M56" s="26">
        <v>4625</v>
      </c>
      <c r="N56" s="26">
        <v>900</v>
      </c>
      <c r="O56" s="26">
        <v>8267</v>
      </c>
      <c r="P56" s="26">
        <v>131</v>
      </c>
      <c r="Q56" s="23">
        <v>3750</v>
      </c>
      <c r="R56" s="23">
        <v>900</v>
      </c>
      <c r="S56" s="23" t="s">
        <v>77</v>
      </c>
      <c r="T56" s="2"/>
      <c r="U56" s="2" t="s">
        <v>181</v>
      </c>
      <c r="V56" s="2" t="s">
        <v>181</v>
      </c>
      <c r="W56" s="5" t="s">
        <v>73</v>
      </c>
    </row>
    <row r="57" spans="2:23" x14ac:dyDescent="0.3">
      <c r="B57" s="7"/>
      <c r="C57" s="23" t="s">
        <v>16</v>
      </c>
      <c r="D57" s="23">
        <v>22</v>
      </c>
      <c r="E57" s="24">
        <v>9</v>
      </c>
      <c r="F57" s="25">
        <v>12.6</v>
      </c>
      <c r="G57" s="25">
        <v>42.5</v>
      </c>
      <c r="H57" s="26">
        <v>1081</v>
      </c>
      <c r="I57" s="26">
        <v>17</v>
      </c>
      <c r="J57" s="25">
        <v>20.8</v>
      </c>
      <c r="K57" s="26">
        <v>9998</v>
      </c>
      <c r="L57" s="26">
        <v>131</v>
      </c>
      <c r="M57" s="26">
        <v>4535</v>
      </c>
      <c r="N57" s="26">
        <v>900</v>
      </c>
      <c r="O57" s="26">
        <v>9094</v>
      </c>
      <c r="P57" s="26">
        <v>131</v>
      </c>
      <c r="Q57" s="23">
        <v>4125</v>
      </c>
      <c r="R57" s="23">
        <v>900</v>
      </c>
      <c r="S57" s="23" t="s">
        <v>78</v>
      </c>
      <c r="T57" s="2"/>
      <c r="U57" s="2" t="s">
        <v>181</v>
      </c>
      <c r="V57" s="2"/>
      <c r="W57" s="5" t="s">
        <v>73</v>
      </c>
    </row>
    <row r="58" spans="2:23" x14ac:dyDescent="0.3">
      <c r="B58" s="7"/>
      <c r="C58" s="23" t="s">
        <v>42</v>
      </c>
      <c r="D58" s="23">
        <v>16</v>
      </c>
      <c r="E58" s="24">
        <v>7</v>
      </c>
      <c r="F58" s="25">
        <v>10.199999999999999</v>
      </c>
      <c r="G58" s="25">
        <v>45.2</v>
      </c>
      <c r="H58" s="26">
        <v>1147</v>
      </c>
      <c r="I58" s="26">
        <v>16</v>
      </c>
      <c r="J58" s="25">
        <v>19.5</v>
      </c>
      <c r="K58" s="26">
        <v>6173</v>
      </c>
      <c r="L58" s="26">
        <v>131</v>
      </c>
      <c r="M58" s="26">
        <v>2800</v>
      </c>
      <c r="N58" s="26">
        <v>900</v>
      </c>
      <c r="O58" s="26">
        <v>5842</v>
      </c>
      <c r="P58" s="26">
        <v>131</v>
      </c>
      <c r="Q58" s="23">
        <v>2650</v>
      </c>
      <c r="R58" s="23">
        <v>900</v>
      </c>
      <c r="S58" s="23" t="s">
        <v>79</v>
      </c>
      <c r="T58" s="2"/>
      <c r="U58" s="2" t="s">
        <v>181</v>
      </c>
      <c r="V58" s="2" t="s">
        <v>181</v>
      </c>
      <c r="W58" s="5" t="s">
        <v>73</v>
      </c>
    </row>
    <row r="59" spans="2:23" x14ac:dyDescent="0.3">
      <c r="B59" s="7" t="s">
        <v>80</v>
      </c>
      <c r="C59" s="23" t="s">
        <v>47</v>
      </c>
      <c r="D59" s="23">
        <v>18</v>
      </c>
      <c r="E59" s="24">
        <v>6</v>
      </c>
      <c r="F59" s="25">
        <v>8.5</v>
      </c>
      <c r="G59" s="25">
        <v>30.2</v>
      </c>
      <c r="H59" s="26">
        <v>767</v>
      </c>
      <c r="I59" s="26">
        <v>16</v>
      </c>
      <c r="J59" s="25">
        <v>19.5</v>
      </c>
      <c r="K59" s="26">
        <v>4806</v>
      </c>
      <c r="L59" s="26">
        <v>120</v>
      </c>
      <c r="M59" s="26">
        <v>2180</v>
      </c>
      <c r="N59" s="26">
        <v>830</v>
      </c>
      <c r="O59" s="26">
        <v>4542</v>
      </c>
      <c r="P59" s="26">
        <v>120</v>
      </c>
      <c r="Q59" s="23">
        <v>2060</v>
      </c>
      <c r="R59" s="23">
        <v>830</v>
      </c>
      <c r="S59" s="23" t="s">
        <v>48</v>
      </c>
      <c r="T59" s="2"/>
      <c r="U59" s="2" t="s">
        <v>181</v>
      </c>
      <c r="V59" s="2" t="s">
        <v>181</v>
      </c>
      <c r="W59" s="5" t="s">
        <v>80</v>
      </c>
    </row>
    <row r="60" spans="2:23" x14ac:dyDescent="0.3">
      <c r="B60" s="7"/>
      <c r="C60" s="23" t="s">
        <v>49</v>
      </c>
      <c r="D60" s="23">
        <v>18</v>
      </c>
      <c r="E60" s="24">
        <v>6.75</v>
      </c>
      <c r="F60" s="25">
        <v>9.3000000000000007</v>
      </c>
      <c r="G60" s="25">
        <v>31.7</v>
      </c>
      <c r="H60" s="26">
        <v>804</v>
      </c>
      <c r="I60" s="26">
        <v>17</v>
      </c>
      <c r="J60" s="25">
        <v>20.8</v>
      </c>
      <c r="K60" s="26">
        <v>6008</v>
      </c>
      <c r="L60" s="26">
        <v>131</v>
      </c>
      <c r="M60" s="26">
        <v>2725</v>
      </c>
      <c r="N60" s="26">
        <v>900</v>
      </c>
      <c r="O60" s="26">
        <v>5677</v>
      </c>
      <c r="P60" s="26">
        <v>131</v>
      </c>
      <c r="Q60" s="23">
        <v>2575</v>
      </c>
      <c r="R60" s="23">
        <v>900</v>
      </c>
      <c r="S60" s="23" t="s">
        <v>50</v>
      </c>
      <c r="T60" s="2"/>
      <c r="U60" s="2" t="s">
        <v>181</v>
      </c>
      <c r="V60" s="2" t="s">
        <v>181</v>
      </c>
      <c r="W60" s="5" t="s">
        <v>80</v>
      </c>
    </row>
    <row r="61" spans="2:23" x14ac:dyDescent="0.3">
      <c r="B61" s="7"/>
      <c r="C61" s="23" t="s">
        <v>51</v>
      </c>
      <c r="D61" s="23">
        <v>18</v>
      </c>
      <c r="E61" s="24">
        <v>7.5</v>
      </c>
      <c r="F61" s="25">
        <v>9.9</v>
      </c>
      <c r="G61" s="25">
        <v>31.2</v>
      </c>
      <c r="H61" s="26">
        <v>791</v>
      </c>
      <c r="I61" s="26">
        <v>17</v>
      </c>
      <c r="J61" s="25">
        <v>20.8</v>
      </c>
      <c r="K61" s="26">
        <v>6008</v>
      </c>
      <c r="L61" s="26">
        <v>131</v>
      </c>
      <c r="M61" s="26">
        <v>2725</v>
      </c>
      <c r="N61" s="26">
        <v>900</v>
      </c>
      <c r="O61" s="26">
        <v>5677</v>
      </c>
      <c r="P61" s="26">
        <v>131</v>
      </c>
      <c r="Q61" s="23">
        <v>2575</v>
      </c>
      <c r="R61" s="23">
        <v>900</v>
      </c>
      <c r="S61" s="23" t="s">
        <v>50</v>
      </c>
      <c r="T61" s="2"/>
      <c r="U61" s="2" t="s">
        <v>181</v>
      </c>
      <c r="V61" s="2" t="s">
        <v>181</v>
      </c>
      <c r="W61" s="5" t="s">
        <v>80</v>
      </c>
    </row>
    <row r="62" spans="2:23" x14ac:dyDescent="0.3">
      <c r="B62" s="7"/>
      <c r="C62" s="23" t="s">
        <v>56</v>
      </c>
      <c r="D62" s="23">
        <v>16</v>
      </c>
      <c r="E62" s="24">
        <v>7.5</v>
      </c>
      <c r="F62" s="25">
        <v>10.1</v>
      </c>
      <c r="G62" s="25">
        <v>36.9</v>
      </c>
      <c r="H62" s="26">
        <v>937</v>
      </c>
      <c r="I62" s="26">
        <v>18</v>
      </c>
      <c r="J62" s="25">
        <v>22</v>
      </c>
      <c r="K62" s="26">
        <v>5512</v>
      </c>
      <c r="L62" s="26">
        <v>120</v>
      </c>
      <c r="M62" s="26">
        <v>2500</v>
      </c>
      <c r="N62" s="26">
        <v>830</v>
      </c>
      <c r="O62" s="26">
        <v>5071</v>
      </c>
      <c r="P62" s="26">
        <v>120</v>
      </c>
      <c r="Q62" s="23">
        <v>2300</v>
      </c>
      <c r="R62" s="23">
        <v>830</v>
      </c>
      <c r="S62" s="23" t="s">
        <v>57</v>
      </c>
      <c r="T62" s="2"/>
      <c r="U62" s="2" t="s">
        <v>181</v>
      </c>
      <c r="V62" s="2" t="s">
        <v>181</v>
      </c>
      <c r="W62" s="5" t="s">
        <v>80</v>
      </c>
    </row>
    <row r="63" spans="2:23" x14ac:dyDescent="0.3">
      <c r="B63" s="7"/>
      <c r="C63" s="23" t="s">
        <v>29</v>
      </c>
      <c r="D63" s="23">
        <v>18</v>
      </c>
      <c r="E63" s="24">
        <v>8.25</v>
      </c>
      <c r="F63" s="25">
        <v>10.8</v>
      </c>
      <c r="G63" s="25">
        <v>38.200000000000003</v>
      </c>
      <c r="H63" s="26">
        <v>970</v>
      </c>
      <c r="I63" s="26">
        <v>18</v>
      </c>
      <c r="J63" s="25">
        <v>22</v>
      </c>
      <c r="K63" s="26">
        <v>6945</v>
      </c>
      <c r="L63" s="26">
        <v>131</v>
      </c>
      <c r="M63" s="26">
        <v>3150</v>
      </c>
      <c r="N63" s="26">
        <v>900</v>
      </c>
      <c r="O63" s="26">
        <v>6393</v>
      </c>
      <c r="P63" s="26">
        <v>131</v>
      </c>
      <c r="Q63" s="23">
        <v>2900</v>
      </c>
      <c r="R63" s="23">
        <v>900</v>
      </c>
      <c r="S63" s="23" t="s">
        <v>58</v>
      </c>
      <c r="T63" s="2"/>
      <c r="U63" s="2" t="s">
        <v>181</v>
      </c>
      <c r="V63" s="2" t="s">
        <v>181</v>
      </c>
      <c r="W63" s="5" t="s">
        <v>80</v>
      </c>
    </row>
    <row r="64" spans="2:23" x14ac:dyDescent="0.3">
      <c r="B64" s="7"/>
      <c r="C64" s="23" t="s">
        <v>81</v>
      </c>
      <c r="D64" s="23">
        <v>20</v>
      </c>
      <c r="E64" s="24">
        <v>11.75</v>
      </c>
      <c r="F64" s="25">
        <v>15.2</v>
      </c>
      <c r="G64" s="25">
        <v>42.1</v>
      </c>
      <c r="H64" s="26">
        <v>1070</v>
      </c>
      <c r="I64" s="26">
        <v>17</v>
      </c>
      <c r="J64" s="25">
        <v>21.2</v>
      </c>
      <c r="K64" s="26">
        <v>11023</v>
      </c>
      <c r="L64" s="26">
        <v>131</v>
      </c>
      <c r="M64" s="26">
        <v>5000</v>
      </c>
      <c r="N64" s="26">
        <v>900</v>
      </c>
      <c r="O64" s="26"/>
      <c r="P64" s="26"/>
      <c r="Q64" s="23"/>
      <c r="R64" s="23"/>
      <c r="S64" s="23" t="s">
        <v>82</v>
      </c>
      <c r="T64" s="2"/>
      <c r="U64" s="2" t="s">
        <v>181</v>
      </c>
      <c r="V64" s="2" t="s">
        <v>181</v>
      </c>
      <c r="W64" s="5" t="s">
        <v>80</v>
      </c>
    </row>
    <row r="65" spans="2:23" x14ac:dyDescent="0.3">
      <c r="B65" s="7"/>
      <c r="C65" s="23" t="s">
        <v>83</v>
      </c>
      <c r="D65" s="23">
        <v>20</v>
      </c>
      <c r="E65" s="24">
        <v>12.25</v>
      </c>
      <c r="F65" s="25">
        <v>16.600000000000001</v>
      </c>
      <c r="G65" s="25">
        <v>44.1</v>
      </c>
      <c r="H65" s="26">
        <v>1121</v>
      </c>
      <c r="I65" s="26">
        <v>17</v>
      </c>
      <c r="J65" s="25">
        <v>20.8</v>
      </c>
      <c r="K65" s="26">
        <v>11354</v>
      </c>
      <c r="L65" s="26">
        <v>120</v>
      </c>
      <c r="M65" s="26">
        <v>5150</v>
      </c>
      <c r="N65" s="26">
        <v>830</v>
      </c>
      <c r="O65" s="26"/>
      <c r="P65" s="26"/>
      <c r="Q65" s="23"/>
      <c r="R65" s="23"/>
      <c r="S65" s="23" t="s">
        <v>84</v>
      </c>
      <c r="T65" s="2"/>
      <c r="U65" s="2" t="s">
        <v>181</v>
      </c>
      <c r="V65" s="2" t="s">
        <v>181</v>
      </c>
      <c r="W65" s="5" t="s">
        <v>80</v>
      </c>
    </row>
    <row r="66" spans="2:23" x14ac:dyDescent="0.3">
      <c r="B66" s="7"/>
      <c r="C66" s="23" t="s">
        <v>85</v>
      </c>
      <c r="D66" s="23">
        <v>20</v>
      </c>
      <c r="E66" s="24">
        <v>13</v>
      </c>
      <c r="F66" s="25">
        <v>17.5</v>
      </c>
      <c r="G66" s="25">
        <v>45.2</v>
      </c>
      <c r="H66" s="26">
        <v>1148</v>
      </c>
      <c r="I66" s="26">
        <v>17</v>
      </c>
      <c r="J66" s="25">
        <v>20.8</v>
      </c>
      <c r="K66" s="26">
        <v>12787</v>
      </c>
      <c r="L66" s="26">
        <v>131</v>
      </c>
      <c r="M66" s="26">
        <v>5800</v>
      </c>
      <c r="N66" s="26">
        <v>900</v>
      </c>
      <c r="O66" s="26"/>
      <c r="P66" s="26"/>
      <c r="Q66" s="23"/>
      <c r="R66" s="23"/>
      <c r="S66" s="23" t="s">
        <v>86</v>
      </c>
      <c r="T66" s="2"/>
      <c r="U66" s="2" t="s">
        <v>181</v>
      </c>
      <c r="V66" s="2" t="s">
        <v>181</v>
      </c>
      <c r="W66" s="5" t="s">
        <v>80</v>
      </c>
    </row>
    <row r="67" spans="2:23" x14ac:dyDescent="0.3">
      <c r="B67" s="7" t="s">
        <v>87</v>
      </c>
      <c r="C67" s="23" t="s">
        <v>25</v>
      </c>
      <c r="D67" s="23">
        <v>20</v>
      </c>
      <c r="E67" s="24">
        <v>8.5</v>
      </c>
      <c r="F67" s="25">
        <v>12.5</v>
      </c>
      <c r="G67" s="25">
        <v>48.2</v>
      </c>
      <c r="H67" s="26">
        <v>1223</v>
      </c>
      <c r="I67" s="26">
        <v>18</v>
      </c>
      <c r="J67" s="25">
        <v>22</v>
      </c>
      <c r="K67" s="26">
        <v>9921</v>
      </c>
      <c r="L67" s="26">
        <v>131</v>
      </c>
      <c r="M67" s="26">
        <v>4500</v>
      </c>
      <c r="N67" s="26">
        <v>900</v>
      </c>
      <c r="O67" s="26">
        <v>9094</v>
      </c>
      <c r="P67" s="26">
        <v>131</v>
      </c>
      <c r="Q67" s="23">
        <v>4125</v>
      </c>
      <c r="R67" s="23">
        <v>900</v>
      </c>
      <c r="S67" s="23" t="s">
        <v>26</v>
      </c>
      <c r="T67" s="2"/>
      <c r="U67" s="2" t="s">
        <v>181</v>
      </c>
      <c r="V67" s="2" t="s">
        <v>181</v>
      </c>
      <c r="W67" s="5" t="s">
        <v>87</v>
      </c>
    </row>
    <row r="68" spans="2:23" x14ac:dyDescent="0.3">
      <c r="B68" s="7"/>
      <c r="C68" s="23" t="s">
        <v>16</v>
      </c>
      <c r="D68" s="23">
        <v>20</v>
      </c>
      <c r="E68" s="24">
        <v>9</v>
      </c>
      <c r="F68" s="25">
        <v>12.6</v>
      </c>
      <c r="G68" s="25">
        <v>42.5</v>
      </c>
      <c r="H68" s="26">
        <v>1080</v>
      </c>
      <c r="I68" s="26">
        <v>17</v>
      </c>
      <c r="J68" s="25">
        <v>20.8</v>
      </c>
      <c r="K68" s="26">
        <v>9094</v>
      </c>
      <c r="L68" s="26">
        <v>131</v>
      </c>
      <c r="M68" s="26">
        <v>4125</v>
      </c>
      <c r="N68" s="26">
        <v>900</v>
      </c>
      <c r="O68" s="26">
        <v>8267</v>
      </c>
      <c r="P68" s="26">
        <v>131</v>
      </c>
      <c r="Q68" s="23">
        <v>3750</v>
      </c>
      <c r="R68" s="23">
        <v>900</v>
      </c>
      <c r="S68" s="23" t="s">
        <v>88</v>
      </c>
      <c r="T68" s="2"/>
      <c r="U68" s="2" t="s">
        <v>181</v>
      </c>
      <c r="V68" s="2" t="s">
        <v>181</v>
      </c>
      <c r="W68" s="5" t="s">
        <v>87</v>
      </c>
    </row>
    <row r="69" spans="2:23" x14ac:dyDescent="0.3">
      <c r="B69" s="7" t="s">
        <v>89</v>
      </c>
      <c r="C69" s="23" t="s">
        <v>37</v>
      </c>
      <c r="D69" s="23">
        <v>18</v>
      </c>
      <c r="E69" s="24">
        <v>7.5</v>
      </c>
      <c r="F69" s="25">
        <v>10.8</v>
      </c>
      <c r="G69" s="25">
        <v>41.9</v>
      </c>
      <c r="H69" s="26">
        <v>1064</v>
      </c>
      <c r="I69" s="26">
        <v>22</v>
      </c>
      <c r="J69" s="25">
        <v>27.7</v>
      </c>
      <c r="K69" s="26">
        <v>7165</v>
      </c>
      <c r="L69" s="26">
        <v>135</v>
      </c>
      <c r="M69" s="26">
        <v>3250</v>
      </c>
      <c r="N69" s="26">
        <v>930</v>
      </c>
      <c r="O69" s="26">
        <v>6614</v>
      </c>
      <c r="P69" s="26">
        <v>135</v>
      </c>
      <c r="Q69" s="23">
        <v>3000</v>
      </c>
      <c r="R69" s="23">
        <v>930</v>
      </c>
      <c r="S69" s="23" t="s">
        <v>90</v>
      </c>
      <c r="T69" s="2"/>
      <c r="U69" s="2" t="s">
        <v>91</v>
      </c>
      <c r="V69" s="2"/>
      <c r="W69" s="5" t="s">
        <v>89</v>
      </c>
    </row>
    <row r="70" spans="2:23" x14ac:dyDescent="0.3">
      <c r="B70" s="7"/>
      <c r="C70" s="23" t="s">
        <v>11</v>
      </c>
      <c r="D70" s="23">
        <v>16</v>
      </c>
      <c r="E70" s="24">
        <v>8.25</v>
      </c>
      <c r="F70" s="25">
        <v>10.9</v>
      </c>
      <c r="G70" s="25">
        <v>41.9</v>
      </c>
      <c r="H70" s="26">
        <v>1065</v>
      </c>
      <c r="I70" s="26">
        <v>22</v>
      </c>
      <c r="J70" s="25">
        <v>27.7</v>
      </c>
      <c r="K70" s="26">
        <v>6614</v>
      </c>
      <c r="L70" s="26">
        <v>120</v>
      </c>
      <c r="M70" s="26">
        <v>3000</v>
      </c>
      <c r="N70" s="26">
        <v>830</v>
      </c>
      <c r="O70" s="26">
        <v>6008</v>
      </c>
      <c r="P70" s="26">
        <v>120</v>
      </c>
      <c r="Q70" s="23">
        <v>2725</v>
      </c>
      <c r="R70" s="23">
        <v>830</v>
      </c>
      <c r="S70" s="23" t="s">
        <v>92</v>
      </c>
      <c r="T70" s="2"/>
      <c r="U70" s="2" t="s">
        <v>91</v>
      </c>
      <c r="V70" s="2"/>
      <c r="W70" s="5" t="s">
        <v>89</v>
      </c>
    </row>
    <row r="71" spans="2:23" x14ac:dyDescent="0.3">
      <c r="B71" s="7"/>
      <c r="C71" s="23" t="s">
        <v>24</v>
      </c>
      <c r="D71" s="23">
        <v>20</v>
      </c>
      <c r="E71" s="24">
        <v>8.5</v>
      </c>
      <c r="F71" s="25">
        <v>12</v>
      </c>
      <c r="G71" s="25">
        <v>44.7</v>
      </c>
      <c r="H71" s="26">
        <v>1134</v>
      </c>
      <c r="I71" s="26">
        <v>22</v>
      </c>
      <c r="J71" s="25">
        <v>27.1</v>
      </c>
      <c r="K71" s="26">
        <v>8818</v>
      </c>
      <c r="L71" s="26">
        <v>131</v>
      </c>
      <c r="M71" s="26">
        <v>4000</v>
      </c>
      <c r="N71" s="26">
        <v>900</v>
      </c>
      <c r="O71" s="26">
        <v>8047</v>
      </c>
      <c r="P71" s="26">
        <v>131</v>
      </c>
      <c r="Q71" s="23">
        <v>3650</v>
      </c>
      <c r="R71" s="23">
        <v>900</v>
      </c>
      <c r="S71" s="23" t="s">
        <v>93</v>
      </c>
      <c r="T71" s="2"/>
      <c r="U71" s="2" t="s">
        <v>91</v>
      </c>
      <c r="V71" s="2"/>
      <c r="W71" s="5" t="s">
        <v>89</v>
      </c>
    </row>
    <row r="72" spans="2:23" x14ac:dyDescent="0.3">
      <c r="B72" s="7"/>
      <c r="C72" s="23" t="s">
        <v>25</v>
      </c>
      <c r="D72" s="23">
        <v>20</v>
      </c>
      <c r="E72" s="24">
        <v>8.5</v>
      </c>
      <c r="F72" s="25">
        <v>12.3</v>
      </c>
      <c r="G72" s="25">
        <v>48.5</v>
      </c>
      <c r="H72" s="26">
        <v>1233</v>
      </c>
      <c r="I72" s="26">
        <v>23</v>
      </c>
      <c r="J72" s="25">
        <v>29</v>
      </c>
      <c r="K72" s="26">
        <v>9921</v>
      </c>
      <c r="L72" s="26">
        <v>131</v>
      </c>
      <c r="M72" s="26">
        <v>4500</v>
      </c>
      <c r="N72" s="26">
        <v>900</v>
      </c>
      <c r="O72" s="26">
        <v>9094</v>
      </c>
      <c r="P72" s="26">
        <v>131</v>
      </c>
      <c r="Q72" s="23">
        <v>4125</v>
      </c>
      <c r="R72" s="23">
        <v>900</v>
      </c>
      <c r="S72" s="23" t="s">
        <v>94</v>
      </c>
      <c r="T72" s="2"/>
      <c r="U72" s="2" t="s">
        <v>91</v>
      </c>
      <c r="V72" s="2"/>
      <c r="W72" s="5" t="s">
        <v>89</v>
      </c>
    </row>
    <row r="73" spans="2:23" x14ac:dyDescent="0.3">
      <c r="B73" s="7"/>
      <c r="C73" s="23" t="s">
        <v>27</v>
      </c>
      <c r="D73" s="23">
        <v>18</v>
      </c>
      <c r="E73" s="24">
        <v>9</v>
      </c>
      <c r="F73" s="25">
        <v>12</v>
      </c>
      <c r="G73" s="25">
        <v>42.8</v>
      </c>
      <c r="H73" s="26">
        <v>1087</v>
      </c>
      <c r="I73" s="26">
        <v>22</v>
      </c>
      <c r="J73" s="25">
        <v>27.1</v>
      </c>
      <c r="K73" s="26">
        <v>7826</v>
      </c>
      <c r="L73" s="26">
        <v>135</v>
      </c>
      <c r="M73" s="26">
        <v>3550</v>
      </c>
      <c r="N73" s="26">
        <v>930</v>
      </c>
      <c r="O73" s="26">
        <v>7165</v>
      </c>
      <c r="P73" s="26">
        <v>135</v>
      </c>
      <c r="Q73" s="23">
        <v>3250</v>
      </c>
      <c r="R73" s="23">
        <v>930</v>
      </c>
      <c r="S73" s="23" t="s">
        <v>95</v>
      </c>
      <c r="T73" s="2"/>
      <c r="U73" s="2" t="s">
        <v>91</v>
      </c>
      <c r="V73" s="2"/>
      <c r="W73" s="5" t="s">
        <v>89</v>
      </c>
    </row>
    <row r="74" spans="2:23" x14ac:dyDescent="0.3">
      <c r="B74" s="7"/>
      <c r="C74" s="23" t="s">
        <v>14</v>
      </c>
      <c r="D74" s="23">
        <v>18</v>
      </c>
      <c r="E74" s="24">
        <v>9.75</v>
      </c>
      <c r="F74" s="25">
        <v>12.4</v>
      </c>
      <c r="G74" s="25">
        <v>44.8</v>
      </c>
      <c r="H74" s="26">
        <v>1137</v>
      </c>
      <c r="I74" s="26">
        <v>23</v>
      </c>
      <c r="J74" s="25">
        <v>28.3</v>
      </c>
      <c r="K74" s="26">
        <v>8267</v>
      </c>
      <c r="L74" s="26">
        <v>120</v>
      </c>
      <c r="M74" s="26">
        <v>3750</v>
      </c>
      <c r="N74" s="26">
        <v>830</v>
      </c>
      <c r="O74" s="26">
        <v>7606</v>
      </c>
      <c r="P74" s="26">
        <v>120</v>
      </c>
      <c r="Q74" s="23">
        <v>3450</v>
      </c>
      <c r="R74" s="23">
        <v>830</v>
      </c>
      <c r="S74" s="23" t="s">
        <v>96</v>
      </c>
      <c r="T74" s="2"/>
      <c r="U74" s="2" t="s">
        <v>91</v>
      </c>
      <c r="V74" s="2"/>
      <c r="W74" s="5" t="s">
        <v>89</v>
      </c>
    </row>
    <row r="75" spans="2:23" x14ac:dyDescent="0.3">
      <c r="B75" s="7" t="s">
        <v>97</v>
      </c>
      <c r="C75" s="23" t="s">
        <v>11</v>
      </c>
      <c r="D75" s="23">
        <v>16</v>
      </c>
      <c r="E75" s="24">
        <v>8.25</v>
      </c>
      <c r="F75" s="25">
        <v>10.9</v>
      </c>
      <c r="G75" s="25">
        <v>42.3</v>
      </c>
      <c r="H75" s="26">
        <v>1075</v>
      </c>
      <c r="I75" s="26">
        <v>26</v>
      </c>
      <c r="J75" s="25">
        <v>32.799999999999997</v>
      </c>
      <c r="K75" s="26">
        <v>6614</v>
      </c>
      <c r="L75" s="26">
        <v>120</v>
      </c>
      <c r="M75" s="26">
        <v>3000</v>
      </c>
      <c r="N75" s="26">
        <v>830</v>
      </c>
      <c r="O75" s="26">
        <v>6008</v>
      </c>
      <c r="P75" s="26">
        <v>120</v>
      </c>
      <c r="Q75" s="23">
        <v>2725</v>
      </c>
      <c r="R75" s="23">
        <v>830</v>
      </c>
      <c r="S75" s="23" t="s">
        <v>92</v>
      </c>
      <c r="T75" s="2"/>
      <c r="U75" s="2" t="s">
        <v>91</v>
      </c>
      <c r="V75" s="2"/>
      <c r="W75" s="5" t="s">
        <v>97</v>
      </c>
    </row>
    <row r="76" spans="2:23" x14ac:dyDescent="0.3">
      <c r="B76" s="7"/>
      <c r="C76" s="23" t="s">
        <v>22</v>
      </c>
      <c r="D76" s="23">
        <v>16</v>
      </c>
      <c r="E76" s="24">
        <v>8.25</v>
      </c>
      <c r="F76" s="25">
        <v>11.5</v>
      </c>
      <c r="G76" s="25">
        <v>43.9</v>
      </c>
      <c r="H76" s="26">
        <v>1116</v>
      </c>
      <c r="I76" s="26">
        <v>26</v>
      </c>
      <c r="J76" s="25">
        <v>32.799999999999997</v>
      </c>
      <c r="K76" s="26">
        <v>7165</v>
      </c>
      <c r="L76" s="26">
        <v>120</v>
      </c>
      <c r="M76" s="26">
        <v>3250</v>
      </c>
      <c r="N76" s="26">
        <v>830</v>
      </c>
      <c r="O76" s="26">
        <v>6614</v>
      </c>
      <c r="P76" s="26">
        <v>120</v>
      </c>
      <c r="Q76" s="23">
        <v>3000</v>
      </c>
      <c r="R76" s="23">
        <v>830</v>
      </c>
      <c r="S76" s="23" t="s">
        <v>98</v>
      </c>
      <c r="T76" s="2"/>
      <c r="U76" s="2" t="s">
        <v>91</v>
      </c>
      <c r="V76" s="2"/>
      <c r="W76" s="5" t="s">
        <v>97</v>
      </c>
    </row>
    <row r="77" spans="2:23" x14ac:dyDescent="0.3">
      <c r="B77" s="7" t="s">
        <v>99</v>
      </c>
      <c r="C77" s="23" t="s">
        <v>11</v>
      </c>
      <c r="D77" s="23">
        <v>16</v>
      </c>
      <c r="E77" s="24">
        <v>8.25</v>
      </c>
      <c r="F77" s="25">
        <v>10.9</v>
      </c>
      <c r="G77" s="25">
        <v>41.6</v>
      </c>
      <c r="H77" s="26">
        <v>1057</v>
      </c>
      <c r="I77" s="26">
        <v>19</v>
      </c>
      <c r="J77" s="25">
        <v>23.3</v>
      </c>
      <c r="K77" s="26">
        <v>6614</v>
      </c>
      <c r="L77" s="26">
        <v>120</v>
      </c>
      <c r="M77" s="26">
        <v>3000</v>
      </c>
      <c r="N77" s="26">
        <v>830</v>
      </c>
      <c r="O77" s="26">
        <v>6008</v>
      </c>
      <c r="P77" s="26">
        <v>120</v>
      </c>
      <c r="Q77" s="23">
        <v>2725</v>
      </c>
      <c r="R77" s="23">
        <v>830</v>
      </c>
      <c r="S77" s="23" t="s">
        <v>21</v>
      </c>
      <c r="T77" s="2"/>
      <c r="U77" s="2"/>
      <c r="V77" s="2"/>
      <c r="W77" s="5" t="s">
        <v>99</v>
      </c>
    </row>
    <row r="78" spans="2:23" x14ac:dyDescent="0.3">
      <c r="B78" s="7"/>
      <c r="C78" s="23" t="s">
        <v>22</v>
      </c>
      <c r="D78" s="23">
        <v>16</v>
      </c>
      <c r="E78" s="24">
        <v>8.25</v>
      </c>
      <c r="F78" s="25">
        <v>11.4</v>
      </c>
      <c r="G78" s="25">
        <v>43.3</v>
      </c>
      <c r="H78" s="26">
        <v>1100</v>
      </c>
      <c r="I78" s="26">
        <v>19</v>
      </c>
      <c r="J78" s="25">
        <v>23.3</v>
      </c>
      <c r="K78" s="26">
        <v>7165</v>
      </c>
      <c r="L78" s="26">
        <v>120</v>
      </c>
      <c r="M78" s="26">
        <v>3250</v>
      </c>
      <c r="N78" s="26">
        <v>830</v>
      </c>
      <c r="O78" s="26">
        <v>6614</v>
      </c>
      <c r="P78" s="26">
        <v>120</v>
      </c>
      <c r="Q78" s="23">
        <v>3000</v>
      </c>
      <c r="R78" s="23">
        <v>830</v>
      </c>
      <c r="S78" s="23" t="s">
        <v>23</v>
      </c>
      <c r="T78" s="2"/>
      <c r="U78" s="2"/>
      <c r="V78" s="2"/>
      <c r="W78" s="5" t="s">
        <v>99</v>
      </c>
    </row>
    <row r="79" spans="2:23" x14ac:dyDescent="0.3">
      <c r="B79" s="7"/>
      <c r="C79" s="23" t="s">
        <v>16</v>
      </c>
      <c r="D79" s="23">
        <v>20</v>
      </c>
      <c r="E79" s="24">
        <v>9</v>
      </c>
      <c r="F79" s="25">
        <v>12.6</v>
      </c>
      <c r="G79" s="25">
        <v>42.5</v>
      </c>
      <c r="H79" s="26">
        <v>1080</v>
      </c>
      <c r="I79" s="26">
        <v>19</v>
      </c>
      <c r="J79" s="25">
        <v>23.3</v>
      </c>
      <c r="K79" s="26">
        <v>10196</v>
      </c>
      <c r="L79" s="26">
        <v>131</v>
      </c>
      <c r="M79" s="26">
        <v>4625</v>
      </c>
      <c r="N79" s="26">
        <v>900</v>
      </c>
      <c r="O79" s="26">
        <v>8267</v>
      </c>
      <c r="P79" s="26">
        <v>131</v>
      </c>
      <c r="Q79" s="23">
        <v>3750</v>
      </c>
      <c r="R79" s="23">
        <v>900</v>
      </c>
      <c r="S79" s="23" t="s">
        <v>77</v>
      </c>
      <c r="T79" s="2"/>
      <c r="U79" s="2"/>
      <c r="V79" s="2"/>
      <c r="W79" s="5" t="s">
        <v>99</v>
      </c>
    </row>
    <row r="80" spans="2:23" x14ac:dyDescent="0.3">
      <c r="B80" s="7" t="s">
        <v>101</v>
      </c>
      <c r="C80" s="23" t="s">
        <v>100</v>
      </c>
      <c r="D80" s="23">
        <v>18</v>
      </c>
      <c r="E80" s="24">
        <v>9</v>
      </c>
      <c r="F80" s="25">
        <v>11.5</v>
      </c>
      <c r="G80" s="25">
        <v>37.5</v>
      </c>
      <c r="H80" s="26">
        <v>952</v>
      </c>
      <c r="I80" s="26">
        <v>16</v>
      </c>
      <c r="J80" s="25">
        <v>20.2</v>
      </c>
      <c r="K80" s="26">
        <v>7385</v>
      </c>
      <c r="L80" s="26">
        <v>131</v>
      </c>
      <c r="M80" s="26">
        <v>3350</v>
      </c>
      <c r="N80" s="26">
        <v>900</v>
      </c>
      <c r="O80" s="26">
        <v>6779</v>
      </c>
      <c r="P80" s="26">
        <v>131</v>
      </c>
      <c r="Q80" s="23">
        <v>3075</v>
      </c>
      <c r="R80" s="23">
        <v>900</v>
      </c>
      <c r="S80" s="23" t="s">
        <v>74</v>
      </c>
      <c r="T80" s="2"/>
      <c r="U80" s="2" t="s">
        <v>181</v>
      </c>
      <c r="V80" s="2"/>
      <c r="W80" s="5" t="s">
        <v>101</v>
      </c>
    </row>
    <row r="81" spans="2:23" x14ac:dyDescent="0.3">
      <c r="B81" s="7"/>
      <c r="C81" s="23" t="s">
        <v>62</v>
      </c>
      <c r="D81" s="23">
        <v>20</v>
      </c>
      <c r="E81" s="24">
        <v>9</v>
      </c>
      <c r="F81" s="25">
        <v>12.3</v>
      </c>
      <c r="G81" s="25">
        <v>39.9</v>
      </c>
      <c r="H81" s="26">
        <v>1013</v>
      </c>
      <c r="I81" s="26">
        <v>16</v>
      </c>
      <c r="J81" s="25">
        <v>19.5</v>
      </c>
      <c r="K81" s="26">
        <v>8818</v>
      </c>
      <c r="L81" s="26">
        <v>131</v>
      </c>
      <c r="M81" s="26">
        <v>4000</v>
      </c>
      <c r="N81" s="26">
        <v>900</v>
      </c>
      <c r="O81" s="26">
        <v>7385</v>
      </c>
      <c r="P81" s="26">
        <v>131</v>
      </c>
      <c r="Q81" s="23">
        <v>3350</v>
      </c>
      <c r="R81" s="23">
        <v>900</v>
      </c>
      <c r="S81" s="23" t="s">
        <v>102</v>
      </c>
      <c r="T81" s="2"/>
      <c r="U81" s="2" t="s">
        <v>181</v>
      </c>
      <c r="V81" s="2"/>
      <c r="W81" s="5" t="s">
        <v>101</v>
      </c>
    </row>
    <row r="82" spans="2:23" x14ac:dyDescent="0.3">
      <c r="B82" s="8" t="s">
        <v>103</v>
      </c>
      <c r="C82" s="27" t="s">
        <v>66</v>
      </c>
      <c r="D82" s="27">
        <v>20</v>
      </c>
      <c r="E82" s="28">
        <v>7.5</v>
      </c>
      <c r="F82" s="29">
        <v>9.8000000000000007</v>
      </c>
      <c r="G82" s="29">
        <v>33.4</v>
      </c>
      <c r="H82" s="30">
        <v>849</v>
      </c>
      <c r="I82" s="30">
        <v>14</v>
      </c>
      <c r="J82" s="29">
        <v>17</v>
      </c>
      <c r="K82" s="30">
        <v>6173</v>
      </c>
      <c r="L82" s="30">
        <v>131</v>
      </c>
      <c r="M82" s="30">
        <v>2800</v>
      </c>
      <c r="N82" s="30">
        <v>900</v>
      </c>
      <c r="O82" s="30">
        <v>5842</v>
      </c>
      <c r="P82" s="30">
        <v>131</v>
      </c>
      <c r="Q82" s="27">
        <v>2650</v>
      </c>
      <c r="R82" s="27">
        <v>900</v>
      </c>
      <c r="S82" s="27" t="s">
        <v>67</v>
      </c>
      <c r="T82" s="3"/>
      <c r="U82" s="3" t="s">
        <v>181</v>
      </c>
      <c r="V82" s="3"/>
      <c r="W82" s="5" t="s">
        <v>103</v>
      </c>
    </row>
    <row r="83" spans="2:23" x14ac:dyDescent="0.3">
      <c r="B83" s="7" t="s">
        <v>104</v>
      </c>
      <c r="C83" s="23" t="s">
        <v>37</v>
      </c>
      <c r="D83" s="23">
        <v>18</v>
      </c>
      <c r="E83" s="24">
        <v>7.5</v>
      </c>
      <c r="F83" s="25">
        <v>10.9</v>
      </c>
      <c r="G83" s="25">
        <v>41.4</v>
      </c>
      <c r="H83" s="26">
        <v>1050</v>
      </c>
      <c r="I83" s="26">
        <v>15</v>
      </c>
      <c r="J83" s="25">
        <v>18.899999999999999</v>
      </c>
      <c r="K83" s="26">
        <v>7165</v>
      </c>
      <c r="L83" s="26">
        <v>135</v>
      </c>
      <c r="M83" s="26">
        <v>3250</v>
      </c>
      <c r="N83" s="26">
        <v>930</v>
      </c>
      <c r="O83" s="26">
        <v>6614</v>
      </c>
      <c r="P83" s="26">
        <v>135</v>
      </c>
      <c r="Q83" s="23">
        <v>3000</v>
      </c>
      <c r="R83" s="23">
        <v>930</v>
      </c>
      <c r="S83" s="23" t="s">
        <v>23</v>
      </c>
      <c r="T83" s="2"/>
      <c r="U83" s="2"/>
      <c r="V83" s="2"/>
      <c r="W83" s="5" t="s">
        <v>104</v>
      </c>
    </row>
    <row r="84" spans="2:23" x14ac:dyDescent="0.3">
      <c r="B84" s="7"/>
      <c r="C84" s="23" t="s">
        <v>11</v>
      </c>
      <c r="D84" s="23">
        <v>16</v>
      </c>
      <c r="E84" s="24">
        <v>8.25</v>
      </c>
      <c r="F84" s="25">
        <v>10.9</v>
      </c>
      <c r="G84" s="25">
        <v>41.4</v>
      </c>
      <c r="H84" s="26">
        <v>1051</v>
      </c>
      <c r="I84" s="26">
        <v>15</v>
      </c>
      <c r="J84" s="25">
        <v>18.899999999999999</v>
      </c>
      <c r="K84" s="26">
        <v>6614</v>
      </c>
      <c r="L84" s="26">
        <v>120</v>
      </c>
      <c r="M84" s="26">
        <v>3000</v>
      </c>
      <c r="N84" s="26">
        <v>830</v>
      </c>
      <c r="O84" s="26">
        <v>6008</v>
      </c>
      <c r="P84" s="26">
        <v>120</v>
      </c>
      <c r="Q84" s="23">
        <v>2725</v>
      </c>
      <c r="R84" s="23">
        <v>830</v>
      </c>
      <c r="S84" s="23" t="s">
        <v>60</v>
      </c>
      <c r="T84" s="2"/>
      <c r="U84" s="2"/>
      <c r="V84" s="2"/>
      <c r="W84" s="5" t="s">
        <v>104</v>
      </c>
    </row>
    <row r="85" spans="2:23" x14ac:dyDescent="0.3">
      <c r="B85" s="7"/>
      <c r="C85" s="23" t="s">
        <v>42</v>
      </c>
      <c r="D85" s="23">
        <v>16</v>
      </c>
      <c r="E85" s="24">
        <v>7</v>
      </c>
      <c r="F85" s="25">
        <v>10</v>
      </c>
      <c r="G85" s="25">
        <v>40.1</v>
      </c>
      <c r="H85" s="26">
        <v>1019</v>
      </c>
      <c r="I85" s="26">
        <v>14</v>
      </c>
      <c r="J85" s="25">
        <v>17.600000000000001</v>
      </c>
      <c r="K85" s="26">
        <v>6173</v>
      </c>
      <c r="L85" s="26">
        <v>131</v>
      </c>
      <c r="M85" s="26">
        <v>2800</v>
      </c>
      <c r="N85" s="26">
        <v>900</v>
      </c>
      <c r="O85" s="26">
        <v>5842</v>
      </c>
      <c r="P85" s="26">
        <v>131</v>
      </c>
      <c r="Q85" s="23">
        <v>2650</v>
      </c>
      <c r="R85" s="23">
        <v>900</v>
      </c>
      <c r="S85" s="23" t="s">
        <v>105</v>
      </c>
      <c r="T85" s="2"/>
      <c r="U85" s="2"/>
      <c r="V85" s="2"/>
      <c r="W85" s="5" t="s">
        <v>104</v>
      </c>
    </row>
    <row r="86" spans="2:23" x14ac:dyDescent="0.3">
      <c r="B86" s="7" t="s">
        <v>107</v>
      </c>
      <c r="C86" s="23" t="s">
        <v>106</v>
      </c>
      <c r="D86" s="23">
        <v>16</v>
      </c>
      <c r="E86" s="24">
        <v>9</v>
      </c>
      <c r="F86" s="25">
        <v>11.8</v>
      </c>
      <c r="G86" s="25">
        <v>42.4</v>
      </c>
      <c r="H86" s="26">
        <v>1078</v>
      </c>
      <c r="I86" s="26">
        <v>14</v>
      </c>
      <c r="J86" s="25">
        <v>17.600000000000001</v>
      </c>
      <c r="K86" s="26">
        <v>7826</v>
      </c>
      <c r="L86" s="26">
        <v>110</v>
      </c>
      <c r="M86" s="26">
        <v>3550</v>
      </c>
      <c r="N86" s="26">
        <v>760</v>
      </c>
      <c r="O86" s="26">
        <v>6945</v>
      </c>
      <c r="P86" s="26">
        <v>110</v>
      </c>
      <c r="Q86" s="23">
        <v>3150</v>
      </c>
      <c r="R86" s="23">
        <v>760</v>
      </c>
      <c r="S86" s="23" t="s">
        <v>64</v>
      </c>
      <c r="T86" s="2"/>
      <c r="U86" s="2" t="s">
        <v>181</v>
      </c>
      <c r="V86" s="2"/>
      <c r="W86" s="5" t="s">
        <v>107</v>
      </c>
    </row>
    <row r="87" spans="2:23" x14ac:dyDescent="0.3">
      <c r="B87" s="7" t="s">
        <v>108</v>
      </c>
      <c r="C87" s="23" t="s">
        <v>11</v>
      </c>
      <c r="D87" s="23">
        <v>16</v>
      </c>
      <c r="E87" s="24">
        <v>8.25</v>
      </c>
      <c r="F87" s="25">
        <v>11.1</v>
      </c>
      <c r="G87" s="25">
        <v>41.4</v>
      </c>
      <c r="H87" s="26">
        <v>1052</v>
      </c>
      <c r="I87" s="26">
        <v>15</v>
      </c>
      <c r="J87" s="25">
        <v>18.899999999999999</v>
      </c>
      <c r="K87" s="26">
        <v>6614</v>
      </c>
      <c r="L87" s="26">
        <v>120</v>
      </c>
      <c r="M87" s="26">
        <v>3000</v>
      </c>
      <c r="N87" s="26">
        <v>830</v>
      </c>
      <c r="O87" s="26">
        <v>6008</v>
      </c>
      <c r="P87" s="26">
        <v>120</v>
      </c>
      <c r="Q87" s="23">
        <v>2725</v>
      </c>
      <c r="R87" s="23">
        <v>830</v>
      </c>
      <c r="S87" s="23" t="s">
        <v>60</v>
      </c>
      <c r="T87" s="2" t="s">
        <v>181</v>
      </c>
      <c r="U87" s="2" t="s">
        <v>181</v>
      </c>
      <c r="V87" s="2"/>
      <c r="W87" s="5" t="s">
        <v>109</v>
      </c>
    </row>
    <row r="88" spans="2:23" x14ac:dyDescent="0.3">
      <c r="B88" s="7"/>
      <c r="C88" s="23" t="s">
        <v>22</v>
      </c>
      <c r="D88" s="23">
        <v>16</v>
      </c>
      <c r="E88" s="24">
        <v>8.25</v>
      </c>
      <c r="F88" s="25">
        <v>11.3</v>
      </c>
      <c r="G88" s="25">
        <v>43.1</v>
      </c>
      <c r="H88" s="26">
        <v>1094</v>
      </c>
      <c r="I88" s="26">
        <v>15</v>
      </c>
      <c r="J88" s="25">
        <v>18.899999999999999</v>
      </c>
      <c r="K88" s="26">
        <v>7165</v>
      </c>
      <c r="L88" s="26">
        <v>120</v>
      </c>
      <c r="M88" s="26">
        <v>3250</v>
      </c>
      <c r="N88" s="26">
        <v>830</v>
      </c>
      <c r="O88" s="26">
        <v>6614</v>
      </c>
      <c r="P88" s="26">
        <v>120</v>
      </c>
      <c r="Q88" s="23">
        <v>3000</v>
      </c>
      <c r="R88" s="23">
        <v>830</v>
      </c>
      <c r="S88" s="23" t="s">
        <v>61</v>
      </c>
      <c r="T88" s="2" t="s">
        <v>181</v>
      </c>
      <c r="U88" s="2"/>
      <c r="V88" s="2"/>
      <c r="W88" s="5" t="s">
        <v>109</v>
      </c>
    </row>
    <row r="89" spans="2:23" x14ac:dyDescent="0.3">
      <c r="B89" s="7" t="s">
        <v>111</v>
      </c>
      <c r="C89" s="23" t="s">
        <v>110</v>
      </c>
      <c r="D89" s="23">
        <v>18</v>
      </c>
      <c r="E89" s="24">
        <v>7.5</v>
      </c>
      <c r="F89" s="25">
        <v>11.1</v>
      </c>
      <c r="G89" s="25">
        <v>36.299999999999997</v>
      </c>
      <c r="H89" s="26">
        <v>923</v>
      </c>
      <c r="I89" s="26">
        <v>14</v>
      </c>
      <c r="J89" s="25">
        <v>17</v>
      </c>
      <c r="K89" s="26">
        <v>6945</v>
      </c>
      <c r="L89" s="26">
        <v>125</v>
      </c>
      <c r="M89" s="26">
        <v>3150</v>
      </c>
      <c r="N89" s="26">
        <v>860</v>
      </c>
      <c r="O89" s="26">
        <v>6393</v>
      </c>
      <c r="P89" s="26">
        <v>125</v>
      </c>
      <c r="Q89" s="23">
        <v>2900</v>
      </c>
      <c r="R89" s="23">
        <v>860</v>
      </c>
      <c r="S89" s="23" t="s">
        <v>112</v>
      </c>
      <c r="T89" s="2"/>
      <c r="U89" s="2" t="s">
        <v>181</v>
      </c>
      <c r="V89" s="2" t="s">
        <v>181</v>
      </c>
      <c r="W89" s="5" t="s">
        <v>111</v>
      </c>
    </row>
    <row r="90" spans="2:23" x14ac:dyDescent="0.3">
      <c r="B90" s="7"/>
      <c r="C90" s="23" t="s">
        <v>11</v>
      </c>
      <c r="D90" s="23">
        <v>16</v>
      </c>
      <c r="E90" s="24">
        <v>8.25</v>
      </c>
      <c r="F90" s="25">
        <v>11.1</v>
      </c>
      <c r="G90" s="25">
        <v>41.6</v>
      </c>
      <c r="H90" s="26">
        <v>1055</v>
      </c>
      <c r="I90" s="26">
        <v>16</v>
      </c>
      <c r="J90" s="25">
        <v>20.2</v>
      </c>
      <c r="K90" s="26">
        <v>6614</v>
      </c>
      <c r="L90" s="26">
        <v>120</v>
      </c>
      <c r="M90" s="26">
        <v>3000</v>
      </c>
      <c r="N90" s="26">
        <v>830</v>
      </c>
      <c r="O90" s="26">
        <v>6008</v>
      </c>
      <c r="P90" s="26">
        <v>120</v>
      </c>
      <c r="Q90" s="23">
        <v>2725</v>
      </c>
      <c r="R90" s="23">
        <v>830</v>
      </c>
      <c r="S90" s="23" t="s">
        <v>60</v>
      </c>
      <c r="T90" s="2"/>
      <c r="U90" s="2"/>
      <c r="V90" s="2"/>
      <c r="W90" s="5" t="s">
        <v>111</v>
      </c>
    </row>
    <row r="91" spans="2:23" x14ac:dyDescent="0.3">
      <c r="B91" s="7"/>
      <c r="C91" s="23" t="s">
        <v>56</v>
      </c>
      <c r="D91" s="23">
        <v>16</v>
      </c>
      <c r="E91" s="24">
        <v>7.5</v>
      </c>
      <c r="F91" s="25">
        <v>10.1</v>
      </c>
      <c r="G91" s="25">
        <v>36.5</v>
      </c>
      <c r="H91" s="26">
        <v>928</v>
      </c>
      <c r="I91" s="26">
        <v>15</v>
      </c>
      <c r="J91" s="25">
        <v>18.3</v>
      </c>
      <c r="K91" s="26">
        <v>5512</v>
      </c>
      <c r="L91" s="26">
        <v>120</v>
      </c>
      <c r="M91" s="26">
        <v>2500</v>
      </c>
      <c r="N91" s="26">
        <v>830</v>
      </c>
      <c r="O91" s="26">
        <v>5071</v>
      </c>
      <c r="P91" s="26">
        <v>120</v>
      </c>
      <c r="Q91" s="23">
        <v>2300</v>
      </c>
      <c r="R91" s="23">
        <v>830</v>
      </c>
      <c r="S91" s="23" t="s">
        <v>57</v>
      </c>
      <c r="T91" s="2"/>
      <c r="U91" s="2" t="s">
        <v>181</v>
      </c>
      <c r="V91" s="2" t="s">
        <v>181</v>
      </c>
      <c r="W91" s="5" t="s">
        <v>111</v>
      </c>
    </row>
    <row r="92" spans="2:23" x14ac:dyDescent="0.3">
      <c r="B92" s="7"/>
      <c r="C92" s="23" t="s">
        <v>29</v>
      </c>
      <c r="D92" s="23">
        <v>18</v>
      </c>
      <c r="E92" s="24">
        <v>8.25</v>
      </c>
      <c r="F92" s="25">
        <v>10.7</v>
      </c>
      <c r="G92" s="25">
        <v>37.9</v>
      </c>
      <c r="H92" s="26">
        <v>963</v>
      </c>
      <c r="I92" s="26">
        <v>15</v>
      </c>
      <c r="J92" s="25">
        <v>18.899999999999999</v>
      </c>
      <c r="K92" s="26">
        <v>6945</v>
      </c>
      <c r="L92" s="26">
        <v>131</v>
      </c>
      <c r="M92" s="26">
        <v>3150</v>
      </c>
      <c r="N92" s="26">
        <v>900</v>
      </c>
      <c r="O92" s="26">
        <v>6393</v>
      </c>
      <c r="P92" s="26">
        <v>131</v>
      </c>
      <c r="Q92" s="23">
        <v>2900</v>
      </c>
      <c r="R92" s="23">
        <v>900</v>
      </c>
      <c r="S92" s="23" t="s">
        <v>58</v>
      </c>
      <c r="T92" s="2"/>
      <c r="U92" s="2" t="s">
        <v>181</v>
      </c>
      <c r="V92" s="2" t="s">
        <v>181</v>
      </c>
      <c r="W92" s="5" t="s">
        <v>111</v>
      </c>
    </row>
    <row r="93" spans="2:23" x14ac:dyDescent="0.3">
      <c r="B93" s="7"/>
      <c r="C93" s="23" t="s">
        <v>113</v>
      </c>
      <c r="D93" s="23">
        <v>18</v>
      </c>
      <c r="E93" s="24">
        <v>6.5</v>
      </c>
      <c r="F93" s="25">
        <v>9.3000000000000007</v>
      </c>
      <c r="G93" s="25">
        <v>32.9</v>
      </c>
      <c r="H93" s="26">
        <v>835</v>
      </c>
      <c r="I93" s="26">
        <v>13</v>
      </c>
      <c r="J93" s="25">
        <v>16.399999999999999</v>
      </c>
      <c r="K93" s="26">
        <v>5071</v>
      </c>
      <c r="L93" s="26">
        <v>125</v>
      </c>
      <c r="M93" s="26">
        <v>2300</v>
      </c>
      <c r="N93" s="26">
        <v>860</v>
      </c>
      <c r="O93" s="26">
        <v>4938</v>
      </c>
      <c r="P93" s="26">
        <v>125</v>
      </c>
      <c r="Q93" s="23">
        <v>2240</v>
      </c>
      <c r="R93" s="23">
        <v>860</v>
      </c>
      <c r="S93" s="23" t="s">
        <v>114</v>
      </c>
      <c r="T93" s="2"/>
      <c r="U93" s="2" t="s">
        <v>181</v>
      </c>
      <c r="V93" s="2" t="s">
        <v>181</v>
      </c>
      <c r="W93" s="5" t="s">
        <v>111</v>
      </c>
    </row>
    <row r="94" spans="2:23" x14ac:dyDescent="0.3">
      <c r="B94" s="7" t="s">
        <v>115</v>
      </c>
      <c r="C94" s="23" t="s">
        <v>44</v>
      </c>
      <c r="D94" s="23">
        <v>14</v>
      </c>
      <c r="E94" s="24">
        <v>6</v>
      </c>
      <c r="F94" s="25">
        <v>8</v>
      </c>
      <c r="G94" s="25">
        <v>29.6</v>
      </c>
      <c r="H94" s="26">
        <v>752</v>
      </c>
      <c r="I94" s="26">
        <v>13</v>
      </c>
      <c r="J94" s="25">
        <v>16.399999999999999</v>
      </c>
      <c r="K94" s="26">
        <v>3527</v>
      </c>
      <c r="L94" s="26">
        <v>110</v>
      </c>
      <c r="M94" s="26">
        <v>1600</v>
      </c>
      <c r="N94" s="26">
        <v>760</v>
      </c>
      <c r="O94" s="26">
        <v>3307</v>
      </c>
      <c r="P94" s="26">
        <v>110</v>
      </c>
      <c r="Q94" s="23">
        <v>1500</v>
      </c>
      <c r="R94" s="23">
        <v>760</v>
      </c>
      <c r="S94" s="23" t="s">
        <v>46</v>
      </c>
      <c r="T94" s="2"/>
      <c r="U94" s="2" t="s">
        <v>181</v>
      </c>
      <c r="V94" s="2" t="s">
        <v>181</v>
      </c>
      <c r="W94" s="5" t="s">
        <v>115</v>
      </c>
    </row>
    <row r="95" spans="2:23" x14ac:dyDescent="0.3">
      <c r="B95" s="8"/>
      <c r="C95" s="27" t="s">
        <v>47</v>
      </c>
      <c r="D95" s="27">
        <v>18</v>
      </c>
      <c r="E95" s="28">
        <v>6</v>
      </c>
      <c r="F95" s="29">
        <v>8.4</v>
      </c>
      <c r="G95" s="29">
        <v>30</v>
      </c>
      <c r="H95" s="30">
        <v>762</v>
      </c>
      <c r="I95" s="30">
        <v>13</v>
      </c>
      <c r="J95" s="29">
        <v>16.399999999999999</v>
      </c>
      <c r="K95" s="30">
        <v>4806</v>
      </c>
      <c r="L95" s="30">
        <v>120</v>
      </c>
      <c r="M95" s="30">
        <v>2180</v>
      </c>
      <c r="N95" s="30">
        <v>830</v>
      </c>
      <c r="O95" s="30">
        <v>4542</v>
      </c>
      <c r="P95" s="30">
        <v>120</v>
      </c>
      <c r="Q95" s="27">
        <v>2060</v>
      </c>
      <c r="R95" s="27">
        <v>830</v>
      </c>
      <c r="S95" s="27" t="s">
        <v>48</v>
      </c>
      <c r="T95" s="3"/>
      <c r="U95" s="3" t="s">
        <v>181</v>
      </c>
      <c r="V95" s="3" t="s">
        <v>181</v>
      </c>
      <c r="W95" s="5" t="s">
        <v>115</v>
      </c>
    </row>
    <row r="96" spans="2:23" x14ac:dyDescent="0.3">
      <c r="B96" s="8"/>
      <c r="C96" s="27" t="s">
        <v>49</v>
      </c>
      <c r="D96" s="27">
        <v>18</v>
      </c>
      <c r="E96" s="28">
        <v>6.75</v>
      </c>
      <c r="F96" s="29">
        <v>9.3000000000000007</v>
      </c>
      <c r="G96" s="29">
        <v>31.2</v>
      </c>
      <c r="H96" s="30">
        <v>793</v>
      </c>
      <c r="I96" s="30">
        <v>13</v>
      </c>
      <c r="J96" s="29">
        <v>16.399999999999999</v>
      </c>
      <c r="K96" s="30">
        <v>6008</v>
      </c>
      <c r="L96" s="30">
        <v>120</v>
      </c>
      <c r="M96" s="30">
        <v>2725</v>
      </c>
      <c r="N96" s="30">
        <v>830</v>
      </c>
      <c r="O96" s="30">
        <v>5677</v>
      </c>
      <c r="P96" s="30">
        <v>120</v>
      </c>
      <c r="Q96" s="27">
        <v>2575</v>
      </c>
      <c r="R96" s="27">
        <v>830</v>
      </c>
      <c r="S96" s="27" t="s">
        <v>50</v>
      </c>
      <c r="T96" s="3"/>
      <c r="U96" s="3" t="s">
        <v>181</v>
      </c>
      <c r="V96" s="3" t="s">
        <v>181</v>
      </c>
      <c r="W96" s="5" t="s">
        <v>115</v>
      </c>
    </row>
    <row r="97" spans="2:23" x14ac:dyDescent="0.3">
      <c r="B97" s="7" t="s">
        <v>116</v>
      </c>
      <c r="C97" s="23" t="s">
        <v>53</v>
      </c>
      <c r="D97" s="23">
        <v>16</v>
      </c>
      <c r="E97" s="24">
        <v>7.5</v>
      </c>
      <c r="F97" s="25">
        <v>9.9</v>
      </c>
      <c r="G97" s="25">
        <v>40.1</v>
      </c>
      <c r="H97" s="26">
        <v>1019</v>
      </c>
      <c r="I97" s="26">
        <v>15</v>
      </c>
      <c r="J97" s="25">
        <v>18.3</v>
      </c>
      <c r="K97" s="26">
        <v>6173</v>
      </c>
      <c r="L97" s="26">
        <v>131</v>
      </c>
      <c r="M97" s="26">
        <v>2800</v>
      </c>
      <c r="N97" s="26">
        <v>900</v>
      </c>
      <c r="O97" s="26">
        <v>5842</v>
      </c>
      <c r="P97" s="26">
        <v>131</v>
      </c>
      <c r="Q97" s="23">
        <v>2650</v>
      </c>
      <c r="R97" s="23">
        <v>900</v>
      </c>
      <c r="S97" s="23" t="s">
        <v>43</v>
      </c>
      <c r="T97" s="2"/>
      <c r="U97" s="2" t="s">
        <v>181</v>
      </c>
      <c r="V97" s="2"/>
      <c r="W97" s="5" t="s">
        <v>116</v>
      </c>
    </row>
    <row r="98" spans="2:23" x14ac:dyDescent="0.3">
      <c r="B98" s="7"/>
      <c r="C98" s="23" t="s">
        <v>29</v>
      </c>
      <c r="D98" s="23">
        <v>18</v>
      </c>
      <c r="E98" s="24">
        <v>8.25</v>
      </c>
      <c r="F98" s="25">
        <v>10.9</v>
      </c>
      <c r="G98" s="25">
        <v>37.9</v>
      </c>
      <c r="H98" s="26">
        <v>964</v>
      </c>
      <c r="I98" s="26">
        <v>15</v>
      </c>
      <c r="J98" s="25">
        <v>18.899999999999999</v>
      </c>
      <c r="K98" s="26">
        <v>6945</v>
      </c>
      <c r="L98" s="26">
        <v>131</v>
      </c>
      <c r="M98" s="26">
        <v>3150</v>
      </c>
      <c r="N98" s="26">
        <v>900</v>
      </c>
      <c r="O98" s="26">
        <v>6393</v>
      </c>
      <c r="P98" s="26">
        <v>131</v>
      </c>
      <c r="Q98" s="23">
        <v>2900</v>
      </c>
      <c r="R98" s="23">
        <v>900</v>
      </c>
      <c r="S98" s="23" t="s">
        <v>58</v>
      </c>
      <c r="T98" s="2"/>
      <c r="U98" s="2" t="s">
        <v>181</v>
      </c>
      <c r="V98" s="2"/>
      <c r="W98" s="5" t="s">
        <v>116</v>
      </c>
    </row>
    <row r="99" spans="2:23" x14ac:dyDescent="0.3">
      <c r="B99" s="7" t="s">
        <v>117</v>
      </c>
      <c r="C99" s="23" t="s">
        <v>62</v>
      </c>
      <c r="D99" s="23">
        <v>18</v>
      </c>
      <c r="E99" s="24">
        <v>9</v>
      </c>
      <c r="F99" s="25">
        <v>12.2</v>
      </c>
      <c r="G99" s="25">
        <v>40</v>
      </c>
      <c r="H99" s="26">
        <v>1016</v>
      </c>
      <c r="I99" s="26">
        <v>17</v>
      </c>
      <c r="J99" s="25">
        <v>20.8</v>
      </c>
      <c r="K99" s="26">
        <v>8818</v>
      </c>
      <c r="L99" s="26">
        <v>120</v>
      </c>
      <c r="M99" s="26">
        <v>4000</v>
      </c>
      <c r="N99" s="26">
        <v>830</v>
      </c>
      <c r="O99" s="26">
        <v>7385</v>
      </c>
      <c r="P99" s="26">
        <v>120</v>
      </c>
      <c r="Q99" s="23">
        <v>3350</v>
      </c>
      <c r="R99" s="23">
        <v>830</v>
      </c>
      <c r="S99" s="23" t="s">
        <v>102</v>
      </c>
      <c r="T99" s="2"/>
      <c r="U99" s="2" t="s">
        <v>181</v>
      </c>
      <c r="V99" s="2" t="s">
        <v>181</v>
      </c>
      <c r="W99" s="5" t="s">
        <v>117</v>
      </c>
    </row>
    <row r="100" spans="2:23" x14ac:dyDescent="0.3">
      <c r="B100" s="7"/>
      <c r="C100" s="23" t="s">
        <v>16</v>
      </c>
      <c r="D100" s="23">
        <v>20</v>
      </c>
      <c r="E100" s="24">
        <v>9</v>
      </c>
      <c r="F100" s="25">
        <v>8.5</v>
      </c>
      <c r="G100" s="25">
        <v>42.5</v>
      </c>
      <c r="H100" s="26">
        <v>1080</v>
      </c>
      <c r="I100" s="26">
        <v>17</v>
      </c>
      <c r="J100" s="25">
        <v>20.8</v>
      </c>
      <c r="K100" s="26">
        <v>9094</v>
      </c>
      <c r="L100" s="26">
        <v>131</v>
      </c>
      <c r="M100" s="26">
        <v>4125</v>
      </c>
      <c r="N100" s="26">
        <v>900</v>
      </c>
      <c r="O100" s="26">
        <v>8267</v>
      </c>
      <c r="P100" s="26">
        <v>131</v>
      </c>
      <c r="Q100" s="23">
        <v>3750</v>
      </c>
      <c r="R100" s="23">
        <v>900</v>
      </c>
      <c r="S100" s="23" t="s">
        <v>32</v>
      </c>
      <c r="T100" s="2"/>
      <c r="U100" s="2" t="s">
        <v>181</v>
      </c>
      <c r="V100" s="2" t="s">
        <v>181</v>
      </c>
      <c r="W100" s="5" t="s">
        <v>117</v>
      </c>
    </row>
    <row r="101" spans="2:23" x14ac:dyDescent="0.3">
      <c r="B101" s="7" t="s">
        <v>118</v>
      </c>
      <c r="C101" s="23" t="s">
        <v>53</v>
      </c>
      <c r="D101" s="23">
        <v>16</v>
      </c>
      <c r="E101" s="24">
        <v>7.5</v>
      </c>
      <c r="F101" s="25">
        <v>9.8000000000000007</v>
      </c>
      <c r="G101" s="25">
        <v>40.200000000000003</v>
      </c>
      <c r="H101" s="26">
        <v>1022</v>
      </c>
      <c r="I101" s="26">
        <v>15</v>
      </c>
      <c r="J101" s="25">
        <v>18.899999999999999</v>
      </c>
      <c r="K101" s="26">
        <v>6173</v>
      </c>
      <c r="L101" s="26">
        <v>131</v>
      </c>
      <c r="M101" s="26">
        <v>2800</v>
      </c>
      <c r="N101" s="26">
        <v>900</v>
      </c>
      <c r="O101" s="26">
        <v>5842</v>
      </c>
      <c r="P101" s="26">
        <v>131</v>
      </c>
      <c r="Q101" s="23">
        <v>2650</v>
      </c>
      <c r="R101" s="23">
        <v>900</v>
      </c>
      <c r="S101" s="23" t="s">
        <v>43</v>
      </c>
      <c r="T101" s="2"/>
      <c r="U101" s="2" t="s">
        <v>181</v>
      </c>
      <c r="V101" s="2" t="s">
        <v>181</v>
      </c>
      <c r="W101" s="5" t="s">
        <v>118</v>
      </c>
    </row>
    <row r="102" spans="2:23" x14ac:dyDescent="0.3">
      <c r="B102" s="7"/>
      <c r="C102" s="23" t="s">
        <v>11</v>
      </c>
      <c r="D102" s="23">
        <v>16</v>
      </c>
      <c r="E102" s="24">
        <v>8.25</v>
      </c>
      <c r="F102" s="25">
        <v>11</v>
      </c>
      <c r="G102" s="25">
        <v>41.4</v>
      </c>
      <c r="H102" s="26">
        <v>1051</v>
      </c>
      <c r="I102" s="26">
        <v>15</v>
      </c>
      <c r="J102" s="25">
        <v>18.899999999999999</v>
      </c>
      <c r="K102" s="26">
        <v>6614</v>
      </c>
      <c r="L102" s="26">
        <v>120</v>
      </c>
      <c r="M102" s="26">
        <v>3000</v>
      </c>
      <c r="N102" s="26">
        <v>830</v>
      </c>
      <c r="O102" s="26">
        <v>6008</v>
      </c>
      <c r="P102" s="26">
        <v>120</v>
      </c>
      <c r="Q102" s="23">
        <v>2725</v>
      </c>
      <c r="R102" s="23">
        <v>830</v>
      </c>
      <c r="S102" s="23" t="s">
        <v>60</v>
      </c>
      <c r="T102" s="2"/>
      <c r="U102" s="2" t="s">
        <v>181</v>
      </c>
      <c r="V102" s="2" t="s">
        <v>181</v>
      </c>
      <c r="W102" s="5" t="s">
        <v>118</v>
      </c>
    </row>
    <row r="103" spans="2:23" x14ac:dyDescent="0.3">
      <c r="B103" s="7"/>
      <c r="C103" s="23" t="s">
        <v>27</v>
      </c>
      <c r="D103" s="23">
        <v>18</v>
      </c>
      <c r="E103" s="24">
        <v>9</v>
      </c>
      <c r="F103" s="25">
        <v>11.9</v>
      </c>
      <c r="G103" s="25">
        <v>42.7</v>
      </c>
      <c r="H103" s="26">
        <v>1085</v>
      </c>
      <c r="I103" s="26">
        <v>17</v>
      </c>
      <c r="J103" s="25">
        <v>21.4</v>
      </c>
      <c r="K103" s="26">
        <v>7826</v>
      </c>
      <c r="L103" s="26">
        <v>135</v>
      </c>
      <c r="M103" s="26">
        <v>3550</v>
      </c>
      <c r="N103" s="26">
        <v>930</v>
      </c>
      <c r="O103" s="26">
        <v>7165</v>
      </c>
      <c r="P103" s="26">
        <v>135</v>
      </c>
      <c r="Q103" s="23">
        <v>3250</v>
      </c>
      <c r="R103" s="23">
        <v>930</v>
      </c>
      <c r="S103" s="23" t="s">
        <v>55</v>
      </c>
      <c r="T103" s="2"/>
      <c r="U103" s="2" t="s">
        <v>181</v>
      </c>
      <c r="V103" s="2" t="s">
        <v>181</v>
      </c>
      <c r="W103" s="5" t="s">
        <v>118</v>
      </c>
    </row>
    <row r="104" spans="2:23" x14ac:dyDescent="0.3">
      <c r="B104" s="7"/>
      <c r="C104" s="23" t="s">
        <v>56</v>
      </c>
      <c r="D104" s="23">
        <v>16</v>
      </c>
      <c r="E104" s="24">
        <v>7.5</v>
      </c>
      <c r="F104" s="25">
        <v>10</v>
      </c>
      <c r="G104" s="25">
        <v>36.6</v>
      </c>
      <c r="H104" s="26">
        <v>930</v>
      </c>
      <c r="I104" s="26">
        <v>15</v>
      </c>
      <c r="J104" s="25">
        <v>18.899999999999999</v>
      </c>
      <c r="K104" s="26">
        <v>5512</v>
      </c>
      <c r="L104" s="26">
        <v>120</v>
      </c>
      <c r="M104" s="26">
        <v>2500</v>
      </c>
      <c r="N104" s="26">
        <v>830</v>
      </c>
      <c r="O104" s="26">
        <v>5071</v>
      </c>
      <c r="P104" s="26">
        <v>120</v>
      </c>
      <c r="Q104" s="23">
        <v>2300</v>
      </c>
      <c r="R104" s="23">
        <v>830</v>
      </c>
      <c r="S104" s="23" t="s">
        <v>57</v>
      </c>
      <c r="T104" s="2"/>
      <c r="U104" s="2" t="s">
        <v>181</v>
      </c>
      <c r="V104" s="2" t="s">
        <v>181</v>
      </c>
      <c r="W104" s="5" t="s">
        <v>118</v>
      </c>
    </row>
    <row r="105" spans="2:23" x14ac:dyDescent="0.3">
      <c r="B105" s="7"/>
      <c r="C105" s="23" t="s">
        <v>29</v>
      </c>
      <c r="D105" s="23">
        <v>18</v>
      </c>
      <c r="E105" s="24">
        <v>8.25</v>
      </c>
      <c r="F105" s="25">
        <v>10.8</v>
      </c>
      <c r="G105" s="25">
        <v>38</v>
      </c>
      <c r="H105" s="26">
        <v>964</v>
      </c>
      <c r="I105" s="26">
        <v>15</v>
      </c>
      <c r="J105" s="25">
        <v>18.899999999999999</v>
      </c>
      <c r="K105" s="26">
        <v>6945</v>
      </c>
      <c r="L105" s="26">
        <v>131</v>
      </c>
      <c r="M105" s="26">
        <v>3150</v>
      </c>
      <c r="N105" s="26">
        <v>900</v>
      </c>
      <c r="O105" s="26">
        <v>6393</v>
      </c>
      <c r="P105" s="26">
        <v>131</v>
      </c>
      <c r="Q105" s="23">
        <v>2900</v>
      </c>
      <c r="R105" s="23">
        <v>900</v>
      </c>
      <c r="S105" s="23" t="s">
        <v>58</v>
      </c>
      <c r="T105" s="2"/>
      <c r="U105" s="2" t="s">
        <v>181</v>
      </c>
      <c r="V105" s="2" t="s">
        <v>181</v>
      </c>
      <c r="W105" s="5" t="s">
        <v>118</v>
      </c>
    </row>
    <row r="106" spans="2:23" x14ac:dyDescent="0.3">
      <c r="B106" s="7"/>
      <c r="C106" s="23" t="s">
        <v>119</v>
      </c>
      <c r="D106" s="23">
        <v>18</v>
      </c>
      <c r="E106" s="24">
        <v>8.25</v>
      </c>
      <c r="F106" s="25">
        <v>11.1</v>
      </c>
      <c r="G106" s="25">
        <v>40</v>
      </c>
      <c r="H106" s="26">
        <v>1016</v>
      </c>
      <c r="I106" s="26">
        <v>15</v>
      </c>
      <c r="J106" s="25">
        <v>18.899999999999999</v>
      </c>
      <c r="K106" s="26">
        <v>7165</v>
      </c>
      <c r="L106" s="26">
        <v>131</v>
      </c>
      <c r="M106" s="26">
        <v>3250</v>
      </c>
      <c r="N106" s="26">
        <v>900</v>
      </c>
      <c r="O106" s="26">
        <v>6614</v>
      </c>
      <c r="P106" s="26">
        <v>131</v>
      </c>
      <c r="Q106" s="23">
        <v>3000</v>
      </c>
      <c r="R106" s="23">
        <v>900</v>
      </c>
      <c r="S106" s="23" t="s">
        <v>23</v>
      </c>
      <c r="T106" s="2"/>
      <c r="U106" s="2" t="s">
        <v>181</v>
      </c>
      <c r="V106" s="2" t="s">
        <v>181</v>
      </c>
      <c r="W106" s="5" t="s">
        <v>118</v>
      </c>
    </row>
    <row r="107" spans="2:23" x14ac:dyDescent="0.3">
      <c r="B107" s="7"/>
      <c r="C107" s="23" t="s">
        <v>66</v>
      </c>
      <c r="D107" s="23">
        <v>18</v>
      </c>
      <c r="E107" s="24">
        <v>7.5</v>
      </c>
      <c r="F107" s="25">
        <v>9.8000000000000007</v>
      </c>
      <c r="G107" s="25">
        <v>33.5</v>
      </c>
      <c r="H107" s="26">
        <v>850</v>
      </c>
      <c r="I107" s="26">
        <v>15</v>
      </c>
      <c r="J107" s="25">
        <v>18.899999999999999</v>
      </c>
      <c r="K107" s="26">
        <v>6173</v>
      </c>
      <c r="L107" s="26">
        <v>131</v>
      </c>
      <c r="M107" s="26">
        <v>2800</v>
      </c>
      <c r="N107" s="26">
        <v>900</v>
      </c>
      <c r="O107" s="26">
        <v>5842</v>
      </c>
      <c r="P107" s="26">
        <v>131</v>
      </c>
      <c r="Q107" s="23">
        <v>2650</v>
      </c>
      <c r="R107" s="23">
        <v>900</v>
      </c>
      <c r="S107" s="23" t="s">
        <v>67</v>
      </c>
      <c r="T107" s="2"/>
      <c r="U107" s="2" t="s">
        <v>181</v>
      </c>
      <c r="V107" s="2" t="s">
        <v>181</v>
      </c>
      <c r="W107" s="5" t="s">
        <v>118</v>
      </c>
    </row>
    <row r="108" spans="2:23" x14ac:dyDescent="0.3">
      <c r="B108" s="8" t="s">
        <v>121</v>
      </c>
      <c r="C108" s="27" t="s">
        <v>120</v>
      </c>
      <c r="D108" s="27">
        <v>14</v>
      </c>
      <c r="E108" s="28">
        <v>8.25</v>
      </c>
      <c r="F108" s="29">
        <v>8.6</v>
      </c>
      <c r="G108" s="29">
        <v>40.9</v>
      </c>
      <c r="H108" s="30">
        <v>1039</v>
      </c>
      <c r="I108" s="30">
        <v>11</v>
      </c>
      <c r="J108" s="29">
        <v>13.9</v>
      </c>
      <c r="K108" s="30">
        <v>6173</v>
      </c>
      <c r="L108" s="30">
        <v>110</v>
      </c>
      <c r="M108" s="30">
        <v>2800</v>
      </c>
      <c r="N108" s="30">
        <v>760</v>
      </c>
      <c r="O108" s="30">
        <v>5677</v>
      </c>
      <c r="P108" s="30">
        <v>110</v>
      </c>
      <c r="Q108" s="27">
        <v>2575</v>
      </c>
      <c r="R108" s="27">
        <v>760</v>
      </c>
      <c r="S108" s="27" t="s">
        <v>122</v>
      </c>
      <c r="T108" s="3"/>
      <c r="U108" s="3"/>
      <c r="V108" s="3"/>
      <c r="W108" s="5" t="s">
        <v>121</v>
      </c>
    </row>
    <row r="109" spans="2:23" x14ac:dyDescent="0.3">
      <c r="B109" s="7" t="s">
        <v>124</v>
      </c>
      <c r="C109" s="23" t="s">
        <v>123</v>
      </c>
      <c r="D109" s="23">
        <v>18</v>
      </c>
      <c r="E109" s="24">
        <v>12.25</v>
      </c>
      <c r="F109" s="25">
        <v>15.1</v>
      </c>
      <c r="G109" s="25">
        <v>36.4</v>
      </c>
      <c r="H109" s="26">
        <v>925</v>
      </c>
      <c r="I109" s="26">
        <v>15</v>
      </c>
      <c r="J109" s="25">
        <v>18.899999999999999</v>
      </c>
      <c r="K109" s="26">
        <v>8818</v>
      </c>
      <c r="L109" s="26">
        <v>131</v>
      </c>
      <c r="M109" s="26">
        <v>4000</v>
      </c>
      <c r="N109" s="26">
        <v>900</v>
      </c>
      <c r="O109" s="26"/>
      <c r="P109" s="26"/>
      <c r="Q109" s="23"/>
      <c r="R109" s="23"/>
      <c r="S109" s="23" t="s">
        <v>125</v>
      </c>
      <c r="T109" s="2"/>
      <c r="U109" s="2" t="s">
        <v>181</v>
      </c>
      <c r="V109" s="2" t="s">
        <v>181</v>
      </c>
      <c r="W109" s="5" t="s">
        <v>124</v>
      </c>
    </row>
    <row r="110" spans="2:23" x14ac:dyDescent="0.3">
      <c r="B110" s="7"/>
      <c r="C110" s="23" t="s">
        <v>81</v>
      </c>
      <c r="D110" s="23">
        <v>20</v>
      </c>
      <c r="E110" s="24">
        <v>11.75</v>
      </c>
      <c r="F110" s="25">
        <v>15.1</v>
      </c>
      <c r="G110" s="25">
        <v>42</v>
      </c>
      <c r="H110" s="26">
        <v>1068</v>
      </c>
      <c r="I110" s="26">
        <v>17</v>
      </c>
      <c r="J110" s="25">
        <v>21.2</v>
      </c>
      <c r="K110" s="26">
        <v>9921</v>
      </c>
      <c r="L110" s="26">
        <v>131</v>
      </c>
      <c r="M110" s="26">
        <v>4500</v>
      </c>
      <c r="N110" s="26">
        <v>900</v>
      </c>
      <c r="O110" s="26"/>
      <c r="P110" s="26"/>
      <c r="Q110" s="23"/>
      <c r="R110" s="23"/>
      <c r="S110" s="23" t="s">
        <v>126</v>
      </c>
      <c r="T110" s="2"/>
      <c r="U110" s="2" t="s">
        <v>181</v>
      </c>
      <c r="V110" s="2" t="s">
        <v>181</v>
      </c>
      <c r="W110" s="5" t="s">
        <v>124</v>
      </c>
    </row>
    <row r="111" spans="2:23" x14ac:dyDescent="0.3">
      <c r="B111" s="7" t="s">
        <v>185</v>
      </c>
      <c r="C111" s="23" t="s">
        <v>44</v>
      </c>
      <c r="D111" s="23">
        <v>14</v>
      </c>
      <c r="E111" s="24">
        <v>6</v>
      </c>
      <c r="F111" s="25">
        <v>7.9</v>
      </c>
      <c r="G111" s="25">
        <v>29.7</v>
      </c>
      <c r="H111" s="26">
        <v>754</v>
      </c>
      <c r="I111" s="26">
        <v>14</v>
      </c>
      <c r="J111" s="25">
        <v>17.600000000000001</v>
      </c>
      <c r="K111" s="26">
        <v>3527</v>
      </c>
      <c r="L111" s="26">
        <v>110</v>
      </c>
      <c r="M111" s="26">
        <v>1600</v>
      </c>
      <c r="N111" s="26">
        <v>760</v>
      </c>
      <c r="O111" s="26">
        <v>3307</v>
      </c>
      <c r="P111" s="26">
        <v>110</v>
      </c>
      <c r="Q111" s="23">
        <v>1500</v>
      </c>
      <c r="R111" s="23">
        <v>760</v>
      </c>
      <c r="S111" s="23" t="s">
        <v>46</v>
      </c>
      <c r="T111" s="2"/>
      <c r="U111" s="2" t="s">
        <v>181</v>
      </c>
      <c r="V111" s="2" t="s">
        <v>181</v>
      </c>
      <c r="W111" s="5" t="s">
        <v>127</v>
      </c>
    </row>
    <row r="112" spans="2:23" x14ac:dyDescent="0.3">
      <c r="B112" s="7"/>
      <c r="C112" s="23" t="s">
        <v>47</v>
      </c>
      <c r="D112" s="23">
        <v>16</v>
      </c>
      <c r="E112" s="24">
        <v>6</v>
      </c>
      <c r="F112" s="25">
        <v>8.5</v>
      </c>
      <c r="G112" s="25">
        <v>30.2</v>
      </c>
      <c r="H112" s="26">
        <v>766</v>
      </c>
      <c r="I112" s="26">
        <v>15</v>
      </c>
      <c r="J112" s="25">
        <v>18.899999999999999</v>
      </c>
      <c r="K112" s="26">
        <v>3748</v>
      </c>
      <c r="L112" s="26">
        <v>102</v>
      </c>
      <c r="M112" s="26">
        <v>1700</v>
      </c>
      <c r="N112" s="26">
        <v>700</v>
      </c>
      <c r="O112" s="26">
        <v>3527</v>
      </c>
      <c r="P112" s="26">
        <v>102</v>
      </c>
      <c r="Q112" s="23">
        <v>1600</v>
      </c>
      <c r="R112" s="23">
        <v>700</v>
      </c>
      <c r="S112" s="23" t="s">
        <v>128</v>
      </c>
      <c r="T112" s="2"/>
      <c r="U112" s="2" t="s">
        <v>181</v>
      </c>
      <c r="V112" s="2" t="s">
        <v>181</v>
      </c>
      <c r="W112" s="5" t="s">
        <v>127</v>
      </c>
    </row>
    <row r="113" spans="2:23" x14ac:dyDescent="0.3">
      <c r="B113" s="7"/>
      <c r="C113" s="23" t="s">
        <v>47</v>
      </c>
      <c r="D113" s="23">
        <v>18</v>
      </c>
      <c r="E113" s="24">
        <v>6</v>
      </c>
      <c r="F113" s="25">
        <v>8.4</v>
      </c>
      <c r="G113" s="25">
        <v>30.2</v>
      </c>
      <c r="H113" s="26">
        <v>768</v>
      </c>
      <c r="I113" s="26">
        <v>15</v>
      </c>
      <c r="J113" s="25">
        <v>18.899999999999999</v>
      </c>
      <c r="K113" s="26">
        <v>4806</v>
      </c>
      <c r="L113" s="26">
        <v>123</v>
      </c>
      <c r="M113" s="26">
        <v>2180</v>
      </c>
      <c r="N113" s="26">
        <v>850</v>
      </c>
      <c r="O113" s="26">
        <v>4542</v>
      </c>
      <c r="P113" s="26">
        <v>123</v>
      </c>
      <c r="Q113" s="23">
        <v>2060</v>
      </c>
      <c r="R113" s="23">
        <v>850</v>
      </c>
      <c r="S113" s="23" t="s">
        <v>48</v>
      </c>
      <c r="T113" s="2"/>
      <c r="U113" s="2" t="s">
        <v>181</v>
      </c>
      <c r="V113" s="2" t="s">
        <v>181</v>
      </c>
      <c r="W113" s="5" t="s">
        <v>127</v>
      </c>
    </row>
    <row r="114" spans="2:23" x14ac:dyDescent="0.3">
      <c r="B114" s="7"/>
      <c r="C114" s="23" t="s">
        <v>70</v>
      </c>
      <c r="D114" s="23">
        <v>14</v>
      </c>
      <c r="E114" s="24">
        <v>6.75</v>
      </c>
      <c r="F114" s="25">
        <v>8.9</v>
      </c>
      <c r="G114" s="25">
        <v>31.9</v>
      </c>
      <c r="H114" s="26">
        <v>810</v>
      </c>
      <c r="I114" s="26">
        <v>15</v>
      </c>
      <c r="J114" s="25">
        <v>18.899999999999999</v>
      </c>
      <c r="K114" s="26">
        <v>3968</v>
      </c>
      <c r="L114" s="26">
        <v>110</v>
      </c>
      <c r="M114" s="26">
        <v>1800</v>
      </c>
      <c r="N114" s="26">
        <v>760</v>
      </c>
      <c r="O114" s="26">
        <v>3748</v>
      </c>
      <c r="P114" s="26">
        <v>110</v>
      </c>
      <c r="Q114" s="23">
        <v>1700</v>
      </c>
      <c r="R114" s="23">
        <v>760</v>
      </c>
      <c r="S114" s="23" t="s">
        <v>72</v>
      </c>
      <c r="T114" s="2"/>
      <c r="U114" s="2" t="s">
        <v>181</v>
      </c>
      <c r="V114" s="2" t="s">
        <v>181</v>
      </c>
      <c r="W114" s="5" t="s">
        <v>127</v>
      </c>
    </row>
    <row r="115" spans="2:23" x14ac:dyDescent="0.3">
      <c r="B115" s="7"/>
      <c r="C115" s="23" t="s">
        <v>129</v>
      </c>
      <c r="D115" s="23">
        <v>16</v>
      </c>
      <c r="E115" s="24">
        <v>6.75</v>
      </c>
      <c r="F115" s="25">
        <v>8.8000000000000007</v>
      </c>
      <c r="G115" s="25">
        <v>30.6</v>
      </c>
      <c r="H115" s="26">
        <v>778</v>
      </c>
      <c r="I115" s="26">
        <v>14</v>
      </c>
      <c r="J115" s="25">
        <v>17.600000000000001</v>
      </c>
      <c r="K115" s="26">
        <v>4079</v>
      </c>
      <c r="L115" s="26">
        <v>120</v>
      </c>
      <c r="M115" s="26">
        <v>1850</v>
      </c>
      <c r="N115" s="26">
        <v>830</v>
      </c>
      <c r="O115" s="26">
        <v>3858</v>
      </c>
      <c r="P115" s="26">
        <v>120</v>
      </c>
      <c r="Q115" s="23">
        <v>1750</v>
      </c>
      <c r="R115" s="23">
        <v>830</v>
      </c>
      <c r="S115" s="23" t="s">
        <v>130</v>
      </c>
      <c r="T115" s="2"/>
      <c r="U115" s="2" t="s">
        <v>181</v>
      </c>
      <c r="V115" s="2" t="s">
        <v>181</v>
      </c>
      <c r="W115" s="5" t="s">
        <v>127</v>
      </c>
    </row>
    <row r="116" spans="2:23" x14ac:dyDescent="0.3">
      <c r="B116" s="7"/>
      <c r="C116" s="23" t="s">
        <v>131</v>
      </c>
      <c r="D116" s="23">
        <v>14</v>
      </c>
      <c r="E116" s="24">
        <v>6.75</v>
      </c>
      <c r="F116" s="25">
        <v>9.1999999999999993</v>
      </c>
      <c r="G116" s="25">
        <v>31.8</v>
      </c>
      <c r="H116" s="26">
        <v>807</v>
      </c>
      <c r="I116" s="26">
        <v>16</v>
      </c>
      <c r="J116" s="25">
        <v>19.5</v>
      </c>
      <c r="K116" s="26">
        <v>3417</v>
      </c>
      <c r="L116" s="26">
        <v>110</v>
      </c>
      <c r="M116" s="26">
        <v>1550</v>
      </c>
      <c r="N116" s="26">
        <v>760</v>
      </c>
      <c r="O116" s="26">
        <v>3307</v>
      </c>
      <c r="P116" s="26">
        <v>110</v>
      </c>
      <c r="Q116" s="23">
        <v>1500</v>
      </c>
      <c r="R116" s="23">
        <v>760</v>
      </c>
      <c r="S116" s="23" t="s">
        <v>132</v>
      </c>
      <c r="T116" s="2"/>
      <c r="U116" s="2" t="s">
        <v>181</v>
      </c>
      <c r="V116" s="2" t="s">
        <v>181</v>
      </c>
      <c r="W116" s="5" t="s">
        <v>127</v>
      </c>
    </row>
    <row r="117" spans="2:23" x14ac:dyDescent="0.3">
      <c r="B117" s="7"/>
      <c r="C117" s="23" t="s">
        <v>49</v>
      </c>
      <c r="D117" s="23">
        <v>16</v>
      </c>
      <c r="E117" s="24">
        <v>6.75</v>
      </c>
      <c r="F117" s="25">
        <v>9.3000000000000007</v>
      </c>
      <c r="G117" s="25">
        <v>31.5</v>
      </c>
      <c r="H117" s="26">
        <v>801</v>
      </c>
      <c r="I117" s="26">
        <v>16</v>
      </c>
      <c r="J117" s="25">
        <v>20.2</v>
      </c>
      <c r="K117" s="26">
        <v>4409</v>
      </c>
      <c r="L117" s="26">
        <v>112</v>
      </c>
      <c r="M117" s="26">
        <v>2000</v>
      </c>
      <c r="N117" s="26">
        <v>775</v>
      </c>
      <c r="O117" s="26">
        <v>4189</v>
      </c>
      <c r="P117" s="26">
        <v>112</v>
      </c>
      <c r="Q117" s="23">
        <v>1900</v>
      </c>
      <c r="R117" s="23">
        <v>775</v>
      </c>
      <c r="S117" s="23" t="s">
        <v>133</v>
      </c>
      <c r="T117" s="2"/>
      <c r="U117" s="2" t="s">
        <v>181</v>
      </c>
      <c r="V117" s="2" t="s">
        <v>181</v>
      </c>
      <c r="W117" s="5" t="s">
        <v>127</v>
      </c>
    </row>
    <row r="118" spans="2:23" x14ac:dyDescent="0.3">
      <c r="B118" s="7"/>
      <c r="C118" s="23" t="s">
        <v>49</v>
      </c>
      <c r="D118" s="23">
        <v>18</v>
      </c>
      <c r="E118" s="24">
        <v>6.75</v>
      </c>
      <c r="F118" s="25">
        <v>9.1999999999999993</v>
      </c>
      <c r="G118" s="25">
        <v>31.5</v>
      </c>
      <c r="H118" s="26">
        <v>801</v>
      </c>
      <c r="I118" s="26">
        <v>16</v>
      </c>
      <c r="J118" s="25">
        <v>20.2</v>
      </c>
      <c r="K118" s="26">
        <v>6008</v>
      </c>
      <c r="L118" s="26">
        <v>127</v>
      </c>
      <c r="M118" s="26">
        <v>2725</v>
      </c>
      <c r="N118" s="26">
        <v>875</v>
      </c>
      <c r="O118" s="26">
        <v>5677</v>
      </c>
      <c r="P118" s="26">
        <v>127</v>
      </c>
      <c r="Q118" s="23">
        <v>2575</v>
      </c>
      <c r="R118" s="23">
        <v>875</v>
      </c>
      <c r="S118" s="23" t="s">
        <v>50</v>
      </c>
      <c r="T118" s="2"/>
      <c r="U118" s="2" t="s">
        <v>181</v>
      </c>
      <c r="V118" s="2" t="s">
        <v>181</v>
      </c>
      <c r="W118" s="5" t="s">
        <v>127</v>
      </c>
    </row>
    <row r="119" spans="2:23" x14ac:dyDescent="0.3">
      <c r="B119" s="7"/>
      <c r="C119" s="23" t="s">
        <v>51</v>
      </c>
      <c r="D119" s="23">
        <v>18</v>
      </c>
      <c r="E119" s="24">
        <v>7.5</v>
      </c>
      <c r="F119" s="25">
        <v>9.9</v>
      </c>
      <c r="G119" s="25">
        <v>31.2</v>
      </c>
      <c r="H119" s="26">
        <v>792</v>
      </c>
      <c r="I119" s="26">
        <v>16</v>
      </c>
      <c r="J119" s="25">
        <v>19.5</v>
      </c>
      <c r="K119" s="26">
        <v>4938</v>
      </c>
      <c r="L119" s="26">
        <v>123</v>
      </c>
      <c r="M119" s="26">
        <v>2240</v>
      </c>
      <c r="N119" s="26">
        <v>850</v>
      </c>
      <c r="O119" s="26">
        <v>4674</v>
      </c>
      <c r="P119" s="26">
        <v>123</v>
      </c>
      <c r="Q119" s="23">
        <v>2120</v>
      </c>
      <c r="R119" s="23">
        <v>850</v>
      </c>
      <c r="S119" s="23" t="s">
        <v>52</v>
      </c>
      <c r="T119" s="2"/>
      <c r="U119" s="2" t="s">
        <v>181</v>
      </c>
      <c r="V119" s="2" t="s">
        <v>181</v>
      </c>
      <c r="W119" s="5" t="s">
        <v>127</v>
      </c>
    </row>
    <row r="120" spans="2:23" x14ac:dyDescent="0.3">
      <c r="B120" s="7"/>
      <c r="C120" s="23" t="s">
        <v>66</v>
      </c>
      <c r="D120" s="23">
        <v>18</v>
      </c>
      <c r="E120" s="24">
        <v>7.5</v>
      </c>
      <c r="F120" s="25">
        <v>9.8000000000000007</v>
      </c>
      <c r="G120" s="25">
        <v>33.700000000000003</v>
      </c>
      <c r="H120" s="26">
        <v>857</v>
      </c>
      <c r="I120" s="26">
        <v>17</v>
      </c>
      <c r="J120" s="25">
        <v>21.4</v>
      </c>
      <c r="K120" s="26">
        <v>6173</v>
      </c>
      <c r="L120" s="26">
        <v>131</v>
      </c>
      <c r="M120" s="26">
        <v>2800</v>
      </c>
      <c r="N120" s="26">
        <v>900</v>
      </c>
      <c r="O120" s="26">
        <v>5842</v>
      </c>
      <c r="P120" s="26">
        <v>131</v>
      </c>
      <c r="Q120" s="23">
        <v>2650</v>
      </c>
      <c r="R120" s="23">
        <v>900</v>
      </c>
      <c r="S120" s="23" t="s">
        <v>67</v>
      </c>
      <c r="T120" s="2"/>
      <c r="U120" s="2" t="s">
        <v>181</v>
      </c>
      <c r="V120" s="2" t="s">
        <v>181</v>
      </c>
      <c r="W120" s="5" t="s">
        <v>127</v>
      </c>
    </row>
    <row r="121" spans="2:23" x14ac:dyDescent="0.3">
      <c r="B121" s="7"/>
      <c r="C121" s="23" t="s">
        <v>119</v>
      </c>
      <c r="D121" s="23">
        <v>18</v>
      </c>
      <c r="E121" s="24">
        <v>8.25</v>
      </c>
      <c r="F121" s="25">
        <v>11</v>
      </c>
      <c r="G121" s="25">
        <v>40.200000000000003</v>
      </c>
      <c r="H121" s="26">
        <v>1022</v>
      </c>
      <c r="I121" s="26">
        <v>18</v>
      </c>
      <c r="J121" s="25">
        <v>22.7</v>
      </c>
      <c r="K121" s="26">
        <v>7606</v>
      </c>
      <c r="L121" s="26">
        <v>131</v>
      </c>
      <c r="M121" s="26">
        <v>3450</v>
      </c>
      <c r="N121" s="26">
        <v>900</v>
      </c>
      <c r="O121" s="26">
        <v>6945</v>
      </c>
      <c r="P121" s="26">
        <v>131</v>
      </c>
      <c r="Q121" s="23">
        <v>3150</v>
      </c>
      <c r="R121" s="23">
        <v>900</v>
      </c>
      <c r="S121" s="23" t="s">
        <v>134</v>
      </c>
      <c r="T121" s="2"/>
      <c r="U121" s="2" t="s">
        <v>181</v>
      </c>
      <c r="V121" s="2" t="s">
        <v>181</v>
      </c>
      <c r="W121" s="5" t="s">
        <v>127</v>
      </c>
    </row>
    <row r="122" spans="2:23" x14ac:dyDescent="0.3">
      <c r="B122" s="7"/>
      <c r="C122" s="23" t="s">
        <v>135</v>
      </c>
      <c r="D122" s="23">
        <v>16</v>
      </c>
      <c r="E122" s="24">
        <v>8.25</v>
      </c>
      <c r="F122" s="25">
        <v>11.1</v>
      </c>
      <c r="G122" s="25">
        <v>35.299999999999997</v>
      </c>
      <c r="H122" s="26">
        <v>897</v>
      </c>
      <c r="I122" s="26">
        <v>16</v>
      </c>
      <c r="J122" s="25">
        <v>20.2</v>
      </c>
      <c r="K122" s="26">
        <v>6614</v>
      </c>
      <c r="L122" s="26">
        <v>123</v>
      </c>
      <c r="M122" s="26">
        <v>3000</v>
      </c>
      <c r="N122" s="26">
        <v>850</v>
      </c>
      <c r="O122" s="26">
        <v>6173</v>
      </c>
      <c r="P122" s="26">
        <v>123</v>
      </c>
      <c r="Q122" s="23">
        <v>2800</v>
      </c>
      <c r="R122" s="23">
        <v>850</v>
      </c>
      <c r="S122" s="23" t="s">
        <v>136</v>
      </c>
      <c r="T122" s="2"/>
      <c r="U122" s="2" t="s">
        <v>181</v>
      </c>
      <c r="V122" s="2" t="s">
        <v>181</v>
      </c>
      <c r="W122" s="5" t="s">
        <v>127</v>
      </c>
    </row>
    <row r="123" spans="2:23" x14ac:dyDescent="0.3">
      <c r="B123" s="7" t="s">
        <v>186</v>
      </c>
      <c r="C123" s="23" t="s">
        <v>137</v>
      </c>
      <c r="D123" s="23" t="s">
        <v>182</v>
      </c>
      <c r="E123" s="24">
        <v>9</v>
      </c>
      <c r="F123" s="25">
        <v>311</v>
      </c>
      <c r="G123" s="25">
        <v>42.1</v>
      </c>
      <c r="H123" s="26">
        <v>1068</v>
      </c>
      <c r="I123" s="26">
        <v>22</v>
      </c>
      <c r="J123" s="25">
        <v>27.7</v>
      </c>
      <c r="K123" s="26">
        <v>7810</v>
      </c>
      <c r="L123" s="26">
        <v>123</v>
      </c>
      <c r="M123" s="26">
        <v>3550</v>
      </c>
      <c r="N123" s="26">
        <v>850</v>
      </c>
      <c r="O123" s="26">
        <v>6930</v>
      </c>
      <c r="P123" s="26">
        <v>123</v>
      </c>
      <c r="Q123" s="23">
        <v>3150</v>
      </c>
      <c r="R123" s="23">
        <v>850</v>
      </c>
      <c r="S123" s="23" t="s">
        <v>64</v>
      </c>
      <c r="T123" s="2"/>
      <c r="U123" s="2" t="s">
        <v>181</v>
      </c>
      <c r="V123" s="2" t="s">
        <v>181</v>
      </c>
      <c r="W123" s="5" t="s">
        <v>138</v>
      </c>
    </row>
    <row r="124" spans="2:23" x14ac:dyDescent="0.3">
      <c r="B124" s="7"/>
      <c r="C124" s="23" t="s">
        <v>11</v>
      </c>
      <c r="D124" s="23">
        <v>16</v>
      </c>
      <c r="E124" s="24">
        <v>8.25</v>
      </c>
      <c r="F124" s="25">
        <v>11</v>
      </c>
      <c r="G124" s="25">
        <v>42</v>
      </c>
      <c r="H124" s="26">
        <v>1067</v>
      </c>
      <c r="I124" s="26">
        <v>23</v>
      </c>
      <c r="J124" s="25">
        <v>28.3</v>
      </c>
      <c r="K124" s="26">
        <v>6614</v>
      </c>
      <c r="L124" s="26">
        <v>120</v>
      </c>
      <c r="M124" s="26">
        <v>3000</v>
      </c>
      <c r="N124" s="26">
        <v>830</v>
      </c>
      <c r="O124" s="26">
        <v>6008</v>
      </c>
      <c r="P124" s="26">
        <v>120</v>
      </c>
      <c r="Q124" s="23">
        <v>2725</v>
      </c>
      <c r="R124" s="23">
        <v>830</v>
      </c>
      <c r="S124" s="23" t="s">
        <v>21</v>
      </c>
      <c r="T124" s="2"/>
      <c r="U124" s="2" t="s">
        <v>181</v>
      </c>
      <c r="V124" s="2" t="s">
        <v>181</v>
      </c>
      <c r="W124" s="5" t="s">
        <v>138</v>
      </c>
    </row>
    <row r="125" spans="2:23" x14ac:dyDescent="0.3">
      <c r="B125" s="7"/>
      <c r="C125" s="23" t="s">
        <v>100</v>
      </c>
      <c r="D125" s="23">
        <v>18</v>
      </c>
      <c r="E125" s="24">
        <v>9</v>
      </c>
      <c r="F125" s="25">
        <v>11.5</v>
      </c>
      <c r="G125" s="25">
        <v>36.5</v>
      </c>
      <c r="H125" s="26">
        <v>926</v>
      </c>
      <c r="I125" s="26">
        <v>18</v>
      </c>
      <c r="J125" s="25">
        <v>22.7</v>
      </c>
      <c r="K125" s="26">
        <v>7385</v>
      </c>
      <c r="L125" s="26">
        <v>131</v>
      </c>
      <c r="M125" s="26">
        <v>3350</v>
      </c>
      <c r="N125" s="26">
        <v>900</v>
      </c>
      <c r="O125" s="26">
        <v>6779</v>
      </c>
      <c r="P125" s="26">
        <v>131</v>
      </c>
      <c r="Q125" s="23">
        <v>3075</v>
      </c>
      <c r="R125" s="23">
        <v>900</v>
      </c>
      <c r="S125" s="23" t="s">
        <v>139</v>
      </c>
      <c r="T125" s="2"/>
      <c r="U125" s="2" t="s">
        <v>181</v>
      </c>
      <c r="V125" s="2" t="s">
        <v>181</v>
      </c>
      <c r="W125" s="5" t="s">
        <v>138</v>
      </c>
    </row>
    <row r="126" spans="2:23" x14ac:dyDescent="0.3">
      <c r="B126" s="7"/>
      <c r="C126" s="23" t="s">
        <v>140</v>
      </c>
      <c r="D126" s="23">
        <v>20</v>
      </c>
      <c r="E126" s="24">
        <v>9.75</v>
      </c>
      <c r="F126" s="25">
        <v>12.6</v>
      </c>
      <c r="G126" s="25">
        <v>38</v>
      </c>
      <c r="H126" s="26">
        <v>965</v>
      </c>
      <c r="I126" s="26">
        <v>19</v>
      </c>
      <c r="J126" s="25">
        <v>23.9</v>
      </c>
      <c r="K126" s="26">
        <v>7826</v>
      </c>
      <c r="L126" s="26">
        <v>131</v>
      </c>
      <c r="M126" s="26">
        <v>3550</v>
      </c>
      <c r="N126" s="26">
        <v>900</v>
      </c>
      <c r="O126" s="26">
        <v>6945</v>
      </c>
      <c r="P126" s="26">
        <v>131</v>
      </c>
      <c r="Q126" s="23">
        <v>3150</v>
      </c>
      <c r="R126" s="23">
        <v>900</v>
      </c>
      <c r="S126" s="23" t="s">
        <v>141</v>
      </c>
      <c r="T126" s="2"/>
      <c r="U126" s="2" t="s">
        <v>181</v>
      </c>
      <c r="V126" s="2" t="s">
        <v>181</v>
      </c>
      <c r="W126" s="5" t="s">
        <v>138</v>
      </c>
    </row>
    <row r="127" spans="2:23" x14ac:dyDescent="0.3">
      <c r="B127" s="7"/>
      <c r="C127" s="23" t="s">
        <v>62</v>
      </c>
      <c r="D127" s="23">
        <v>18</v>
      </c>
      <c r="E127" s="24">
        <v>9</v>
      </c>
      <c r="F127" s="25">
        <v>12.4</v>
      </c>
      <c r="G127" s="25">
        <v>40.299999999999997</v>
      </c>
      <c r="H127" s="26">
        <v>1024</v>
      </c>
      <c r="I127" s="26">
        <v>21</v>
      </c>
      <c r="J127" s="25">
        <v>26.5</v>
      </c>
      <c r="K127" s="26">
        <v>8267</v>
      </c>
      <c r="L127" s="26">
        <v>131</v>
      </c>
      <c r="M127" s="26">
        <v>3750</v>
      </c>
      <c r="N127" s="26">
        <v>900</v>
      </c>
      <c r="O127" s="26">
        <v>7385</v>
      </c>
      <c r="P127" s="26">
        <v>131</v>
      </c>
      <c r="Q127" s="23">
        <v>3350</v>
      </c>
      <c r="R127" s="23">
        <v>900</v>
      </c>
      <c r="S127" s="23" t="s">
        <v>142</v>
      </c>
      <c r="T127" s="2"/>
      <c r="U127" s="2" t="s">
        <v>181</v>
      </c>
      <c r="V127" s="2" t="s">
        <v>181</v>
      </c>
      <c r="W127" s="5" t="s">
        <v>138</v>
      </c>
    </row>
    <row r="128" spans="2:23" x14ac:dyDescent="0.3">
      <c r="B128" s="7"/>
      <c r="C128" s="23" t="s">
        <v>16</v>
      </c>
      <c r="D128" s="23">
        <v>18</v>
      </c>
      <c r="E128" s="24">
        <v>9</v>
      </c>
      <c r="F128" s="25">
        <v>12.4</v>
      </c>
      <c r="G128" s="25">
        <v>42.9</v>
      </c>
      <c r="H128" s="26">
        <v>1090</v>
      </c>
      <c r="I128" s="26">
        <v>21</v>
      </c>
      <c r="J128" s="25">
        <v>26.5</v>
      </c>
      <c r="K128" s="26">
        <v>8818</v>
      </c>
      <c r="L128" s="26">
        <v>123</v>
      </c>
      <c r="M128" s="26">
        <v>4000</v>
      </c>
      <c r="N128" s="26">
        <v>850</v>
      </c>
      <c r="O128" s="26">
        <v>7385</v>
      </c>
      <c r="P128" s="26">
        <v>123</v>
      </c>
      <c r="Q128" s="23">
        <v>3350</v>
      </c>
      <c r="R128" s="23">
        <v>850</v>
      </c>
      <c r="S128" s="23" t="s">
        <v>102</v>
      </c>
      <c r="T128" s="2"/>
      <c r="U128" s="2" t="s">
        <v>181</v>
      </c>
      <c r="V128" s="2" t="s">
        <v>181</v>
      </c>
      <c r="W128" s="5" t="s">
        <v>138</v>
      </c>
    </row>
    <row r="129" spans="2:23" x14ac:dyDescent="0.3">
      <c r="B129" s="7" t="s">
        <v>187</v>
      </c>
      <c r="C129" s="23" t="s">
        <v>22</v>
      </c>
      <c r="D129" s="23">
        <v>16</v>
      </c>
      <c r="E129" s="24">
        <v>8.25</v>
      </c>
      <c r="F129" s="25">
        <v>11.5</v>
      </c>
      <c r="G129" s="25">
        <v>43.6</v>
      </c>
      <c r="H129" s="26">
        <v>1107</v>
      </c>
      <c r="I129" s="26">
        <v>23</v>
      </c>
      <c r="J129" s="25">
        <v>29</v>
      </c>
      <c r="K129" s="26">
        <v>7165</v>
      </c>
      <c r="L129" s="26">
        <v>120</v>
      </c>
      <c r="M129" s="26">
        <v>3250</v>
      </c>
      <c r="N129" s="26">
        <v>830</v>
      </c>
      <c r="O129" s="26">
        <v>6614</v>
      </c>
      <c r="P129" s="26">
        <v>120</v>
      </c>
      <c r="Q129" s="23">
        <v>3000</v>
      </c>
      <c r="R129" s="23">
        <v>830</v>
      </c>
      <c r="S129" s="23" t="s">
        <v>23</v>
      </c>
      <c r="T129" s="2"/>
      <c r="U129" s="2" t="s">
        <v>181</v>
      </c>
      <c r="V129" s="2"/>
      <c r="W129" s="5" t="s">
        <v>143</v>
      </c>
    </row>
    <row r="130" spans="2:23" x14ac:dyDescent="0.3">
      <c r="B130" s="7" t="s">
        <v>188</v>
      </c>
      <c r="C130" s="23" t="s">
        <v>137</v>
      </c>
      <c r="D130" s="23">
        <v>18</v>
      </c>
      <c r="E130" s="24">
        <v>9</v>
      </c>
      <c r="F130" s="25">
        <v>309</v>
      </c>
      <c r="G130" s="25">
        <v>41.7</v>
      </c>
      <c r="H130" s="26">
        <v>1059</v>
      </c>
      <c r="I130" s="26">
        <v>17</v>
      </c>
      <c r="J130" s="25">
        <v>20.8</v>
      </c>
      <c r="K130" s="26">
        <v>8250</v>
      </c>
      <c r="L130" s="26">
        <v>131</v>
      </c>
      <c r="M130" s="26">
        <v>3750</v>
      </c>
      <c r="N130" s="26">
        <v>900</v>
      </c>
      <c r="O130" s="26">
        <v>7150</v>
      </c>
      <c r="P130" s="26">
        <v>131</v>
      </c>
      <c r="Q130" s="23">
        <v>3250</v>
      </c>
      <c r="R130" s="23">
        <v>900</v>
      </c>
      <c r="S130" s="23" t="s">
        <v>183</v>
      </c>
      <c r="T130" s="2"/>
      <c r="U130" s="2" t="s">
        <v>181</v>
      </c>
      <c r="V130" s="2" t="s">
        <v>181</v>
      </c>
      <c r="W130" s="5" t="s">
        <v>144</v>
      </c>
    </row>
    <row r="131" spans="2:23" x14ac:dyDescent="0.3">
      <c r="B131" s="8"/>
      <c r="C131" s="27" t="s">
        <v>22</v>
      </c>
      <c r="D131" s="27">
        <v>16</v>
      </c>
      <c r="E131" s="28">
        <v>8.25</v>
      </c>
      <c r="F131" s="25">
        <v>11.5</v>
      </c>
      <c r="G131" s="25">
        <v>43.3</v>
      </c>
      <c r="H131" s="26">
        <v>1100</v>
      </c>
      <c r="I131" s="30">
        <v>18</v>
      </c>
      <c r="J131" s="29">
        <v>22</v>
      </c>
      <c r="K131" s="30">
        <v>7165</v>
      </c>
      <c r="L131" s="30">
        <v>120</v>
      </c>
      <c r="M131" s="30">
        <v>3250</v>
      </c>
      <c r="N131" s="30">
        <v>830</v>
      </c>
      <c r="O131" s="30">
        <v>6614</v>
      </c>
      <c r="P131" s="30">
        <v>120</v>
      </c>
      <c r="Q131" s="27">
        <v>3000</v>
      </c>
      <c r="R131" s="27">
        <v>830</v>
      </c>
      <c r="S131" s="27" t="s">
        <v>23</v>
      </c>
      <c r="T131" s="3"/>
      <c r="U131" s="36" t="s">
        <v>181</v>
      </c>
      <c r="V131" s="3"/>
      <c r="W131" s="5" t="s">
        <v>144</v>
      </c>
    </row>
    <row r="132" spans="2:23" x14ac:dyDescent="0.3">
      <c r="B132" s="7"/>
      <c r="C132" s="23" t="s">
        <v>11</v>
      </c>
      <c r="D132" s="23">
        <v>16</v>
      </c>
      <c r="E132" s="24">
        <v>8.25</v>
      </c>
      <c r="F132" s="25">
        <v>10.9</v>
      </c>
      <c r="G132" s="25">
        <v>41.5</v>
      </c>
      <c r="H132" s="26">
        <v>1053</v>
      </c>
      <c r="I132" s="26">
        <v>16</v>
      </c>
      <c r="J132" s="25">
        <v>20.2</v>
      </c>
      <c r="K132" s="26">
        <v>6945</v>
      </c>
      <c r="L132" s="26">
        <v>120</v>
      </c>
      <c r="M132" s="26">
        <v>3150</v>
      </c>
      <c r="N132" s="26">
        <v>830</v>
      </c>
      <c r="O132" s="26">
        <v>6393</v>
      </c>
      <c r="P132" s="26">
        <v>120</v>
      </c>
      <c r="Q132" s="23">
        <v>2900</v>
      </c>
      <c r="R132" s="23">
        <v>830</v>
      </c>
      <c r="S132" s="23" t="s">
        <v>58</v>
      </c>
      <c r="T132" s="2"/>
      <c r="U132" s="2" t="s">
        <v>181</v>
      </c>
      <c r="V132" s="2" t="s">
        <v>181</v>
      </c>
      <c r="W132" s="5" t="s">
        <v>144</v>
      </c>
    </row>
    <row r="133" spans="2:23" x14ac:dyDescent="0.3">
      <c r="B133" s="7"/>
      <c r="C133" s="23" t="s">
        <v>47</v>
      </c>
      <c r="D133" s="23">
        <v>16</v>
      </c>
      <c r="E133" s="24">
        <v>6</v>
      </c>
      <c r="F133" s="25">
        <v>8.5</v>
      </c>
      <c r="G133" s="25">
        <v>30.1</v>
      </c>
      <c r="H133" s="26">
        <v>764</v>
      </c>
      <c r="I133" s="26">
        <v>13</v>
      </c>
      <c r="J133" s="25">
        <v>16.399999999999999</v>
      </c>
      <c r="K133" s="26">
        <v>3748</v>
      </c>
      <c r="L133" s="26">
        <v>102</v>
      </c>
      <c r="M133" s="26">
        <v>1700</v>
      </c>
      <c r="N133" s="26">
        <v>700</v>
      </c>
      <c r="O133" s="26">
        <v>3527</v>
      </c>
      <c r="P133" s="26">
        <v>102</v>
      </c>
      <c r="Q133" s="23">
        <v>1600</v>
      </c>
      <c r="R133" s="23">
        <v>700</v>
      </c>
      <c r="S133" s="23" t="s">
        <v>128</v>
      </c>
      <c r="T133" s="2"/>
      <c r="U133" s="2" t="s">
        <v>181</v>
      </c>
      <c r="V133" s="2" t="s">
        <v>181</v>
      </c>
      <c r="W133" s="5" t="s">
        <v>144</v>
      </c>
    </row>
    <row r="134" spans="2:23" x14ac:dyDescent="0.3">
      <c r="B134" s="7"/>
      <c r="C134" s="23" t="s">
        <v>47</v>
      </c>
      <c r="D134" s="23">
        <v>18</v>
      </c>
      <c r="E134" s="24">
        <v>6</v>
      </c>
      <c r="F134" s="25">
        <v>8.5</v>
      </c>
      <c r="G134" s="25">
        <v>30</v>
      </c>
      <c r="H134" s="26">
        <v>763</v>
      </c>
      <c r="I134" s="26">
        <v>13</v>
      </c>
      <c r="J134" s="25">
        <v>16.399999999999999</v>
      </c>
      <c r="K134" s="26">
        <v>4806</v>
      </c>
      <c r="L134" s="26">
        <v>123</v>
      </c>
      <c r="M134" s="26">
        <v>2180</v>
      </c>
      <c r="N134" s="26">
        <v>850</v>
      </c>
      <c r="O134" s="26">
        <v>4542</v>
      </c>
      <c r="P134" s="26">
        <v>123</v>
      </c>
      <c r="Q134" s="23">
        <v>2060</v>
      </c>
      <c r="R134" s="23">
        <v>850</v>
      </c>
      <c r="S134" s="23" t="s">
        <v>48</v>
      </c>
      <c r="T134" s="2"/>
      <c r="U134" s="2" t="s">
        <v>181</v>
      </c>
      <c r="V134" s="2" t="s">
        <v>181</v>
      </c>
      <c r="W134" s="5" t="s">
        <v>144</v>
      </c>
    </row>
    <row r="135" spans="2:23" x14ac:dyDescent="0.3">
      <c r="B135" s="7"/>
      <c r="C135" s="23" t="s">
        <v>70</v>
      </c>
      <c r="D135" s="23">
        <v>14</v>
      </c>
      <c r="E135" s="24">
        <v>6.75</v>
      </c>
      <c r="F135" s="25">
        <v>8.9</v>
      </c>
      <c r="G135" s="25">
        <v>31.9</v>
      </c>
      <c r="H135" s="26">
        <v>810</v>
      </c>
      <c r="I135" s="26">
        <v>14</v>
      </c>
      <c r="J135" s="25">
        <v>17.600000000000001</v>
      </c>
      <c r="K135" s="26">
        <v>3968</v>
      </c>
      <c r="L135" s="26">
        <v>110</v>
      </c>
      <c r="M135" s="26">
        <v>1800</v>
      </c>
      <c r="N135" s="26">
        <v>760</v>
      </c>
      <c r="O135" s="26">
        <v>3748</v>
      </c>
      <c r="P135" s="26">
        <v>110</v>
      </c>
      <c r="Q135" s="23">
        <v>1700</v>
      </c>
      <c r="R135" s="23">
        <v>760</v>
      </c>
      <c r="S135" s="23" t="s">
        <v>72</v>
      </c>
      <c r="T135" s="2"/>
      <c r="U135" s="2" t="s">
        <v>181</v>
      </c>
      <c r="V135" s="2" t="s">
        <v>181</v>
      </c>
      <c r="W135" s="5" t="s">
        <v>144</v>
      </c>
    </row>
    <row r="136" spans="2:23" x14ac:dyDescent="0.3">
      <c r="B136" s="7"/>
      <c r="C136" s="23" t="s">
        <v>129</v>
      </c>
      <c r="D136" s="23">
        <v>16</v>
      </c>
      <c r="E136" s="24">
        <v>6.75</v>
      </c>
      <c r="F136" s="25">
        <v>8.6999999999999993</v>
      </c>
      <c r="G136" s="25">
        <v>30.6</v>
      </c>
      <c r="H136" s="26">
        <v>778</v>
      </c>
      <c r="I136" s="26">
        <v>13</v>
      </c>
      <c r="J136" s="25">
        <v>16.399999999999999</v>
      </c>
      <c r="K136" s="26">
        <v>4079</v>
      </c>
      <c r="L136" s="26">
        <v>120</v>
      </c>
      <c r="M136" s="26">
        <v>1850</v>
      </c>
      <c r="N136" s="26">
        <v>830</v>
      </c>
      <c r="O136" s="26">
        <v>3858</v>
      </c>
      <c r="P136" s="26">
        <v>120</v>
      </c>
      <c r="Q136" s="23">
        <v>1750</v>
      </c>
      <c r="R136" s="23">
        <v>830</v>
      </c>
      <c r="S136" s="23" t="s">
        <v>130</v>
      </c>
      <c r="T136" s="2"/>
      <c r="U136" s="2" t="s">
        <v>181</v>
      </c>
      <c r="V136" s="2" t="s">
        <v>181</v>
      </c>
      <c r="W136" s="5" t="s">
        <v>144</v>
      </c>
    </row>
    <row r="137" spans="2:23" x14ac:dyDescent="0.3">
      <c r="B137" s="7"/>
      <c r="C137" s="23" t="s">
        <v>131</v>
      </c>
      <c r="D137" s="23">
        <v>14</v>
      </c>
      <c r="E137" s="24">
        <v>6.75</v>
      </c>
      <c r="F137" s="25">
        <v>9.1999999999999993</v>
      </c>
      <c r="G137" s="25">
        <v>31.8</v>
      </c>
      <c r="H137" s="26">
        <v>807</v>
      </c>
      <c r="I137" s="26">
        <v>15</v>
      </c>
      <c r="J137" s="25">
        <v>18.899999999999999</v>
      </c>
      <c r="K137" s="26">
        <v>4079</v>
      </c>
      <c r="L137" s="26">
        <v>110</v>
      </c>
      <c r="M137" s="26">
        <v>1850</v>
      </c>
      <c r="N137" s="26">
        <v>760</v>
      </c>
      <c r="O137" s="26">
        <v>3858</v>
      </c>
      <c r="P137" s="26">
        <v>110</v>
      </c>
      <c r="Q137" s="23">
        <v>1750</v>
      </c>
      <c r="R137" s="23">
        <v>760</v>
      </c>
      <c r="S137" s="23" t="s">
        <v>145</v>
      </c>
      <c r="T137" s="2"/>
      <c r="U137" s="2" t="s">
        <v>181</v>
      </c>
      <c r="V137" s="2"/>
      <c r="W137" s="5" t="s">
        <v>144</v>
      </c>
    </row>
    <row r="138" spans="2:23" x14ac:dyDescent="0.3">
      <c r="B138" s="7"/>
      <c r="C138" s="23" t="s">
        <v>49</v>
      </c>
      <c r="D138" s="23">
        <v>16</v>
      </c>
      <c r="E138" s="24">
        <v>6.75</v>
      </c>
      <c r="F138" s="25">
        <v>9.3000000000000007</v>
      </c>
      <c r="G138" s="25">
        <v>31.4</v>
      </c>
      <c r="H138" s="26">
        <v>797</v>
      </c>
      <c r="I138" s="26">
        <v>13</v>
      </c>
      <c r="J138" s="25">
        <v>16.399999999999999</v>
      </c>
      <c r="K138" s="26">
        <v>4409</v>
      </c>
      <c r="L138" s="26">
        <v>112</v>
      </c>
      <c r="M138" s="26">
        <v>2000</v>
      </c>
      <c r="N138" s="26">
        <v>775</v>
      </c>
      <c r="O138" s="26">
        <v>4189</v>
      </c>
      <c r="P138" s="26">
        <v>112</v>
      </c>
      <c r="Q138" s="23">
        <v>1900</v>
      </c>
      <c r="R138" s="23">
        <v>775</v>
      </c>
      <c r="S138" s="23" t="s">
        <v>133</v>
      </c>
      <c r="T138" s="2"/>
      <c r="U138" s="2" t="s">
        <v>181</v>
      </c>
      <c r="V138" s="2" t="s">
        <v>181</v>
      </c>
      <c r="W138" s="5" t="s">
        <v>144</v>
      </c>
    </row>
    <row r="139" spans="2:23" x14ac:dyDescent="0.3">
      <c r="B139" s="7"/>
      <c r="C139" s="23" t="s">
        <v>49</v>
      </c>
      <c r="D139" s="23">
        <v>18</v>
      </c>
      <c r="E139" s="24">
        <v>6.75</v>
      </c>
      <c r="F139" s="25">
        <v>9.3000000000000007</v>
      </c>
      <c r="G139" s="25">
        <v>31.3</v>
      </c>
      <c r="H139" s="26">
        <v>795</v>
      </c>
      <c r="I139" s="26">
        <v>13</v>
      </c>
      <c r="J139" s="25">
        <v>16.399999999999999</v>
      </c>
      <c r="K139" s="26">
        <v>6008</v>
      </c>
      <c r="L139" s="26">
        <v>120</v>
      </c>
      <c r="M139" s="26">
        <v>2725</v>
      </c>
      <c r="N139" s="26">
        <v>830</v>
      </c>
      <c r="O139" s="26">
        <v>5677</v>
      </c>
      <c r="P139" s="26">
        <v>120</v>
      </c>
      <c r="Q139" s="23">
        <v>2575</v>
      </c>
      <c r="R139" s="23">
        <v>830</v>
      </c>
      <c r="S139" s="23" t="s">
        <v>50</v>
      </c>
      <c r="T139" s="2"/>
      <c r="U139" s="2" t="s">
        <v>181</v>
      </c>
      <c r="V139" s="2" t="s">
        <v>181</v>
      </c>
      <c r="W139" s="5" t="s">
        <v>144</v>
      </c>
    </row>
    <row r="140" spans="2:23" x14ac:dyDescent="0.3">
      <c r="B140" s="7"/>
      <c r="C140" s="23" t="s">
        <v>51</v>
      </c>
      <c r="D140" s="23">
        <v>18</v>
      </c>
      <c r="E140" s="24">
        <v>7.5</v>
      </c>
      <c r="F140" s="25">
        <v>9.9</v>
      </c>
      <c r="G140" s="25">
        <v>31.3</v>
      </c>
      <c r="H140" s="26">
        <v>796</v>
      </c>
      <c r="I140" s="26">
        <v>15</v>
      </c>
      <c r="J140" s="25">
        <v>18.899999999999999</v>
      </c>
      <c r="K140" s="26">
        <v>4938</v>
      </c>
      <c r="L140" s="26">
        <v>123</v>
      </c>
      <c r="M140" s="26">
        <v>2240</v>
      </c>
      <c r="N140" s="26">
        <v>850</v>
      </c>
      <c r="O140" s="26">
        <v>4674</v>
      </c>
      <c r="P140" s="26">
        <v>123</v>
      </c>
      <c r="Q140" s="23">
        <v>2120</v>
      </c>
      <c r="R140" s="23">
        <v>850</v>
      </c>
      <c r="S140" s="23" t="s">
        <v>52</v>
      </c>
      <c r="T140" s="2"/>
      <c r="U140" s="2" t="s">
        <v>181</v>
      </c>
      <c r="V140" s="2" t="s">
        <v>181</v>
      </c>
      <c r="W140" s="5" t="s">
        <v>144</v>
      </c>
    </row>
    <row r="141" spans="2:23" x14ac:dyDescent="0.3">
      <c r="B141" s="7"/>
      <c r="C141" s="23" t="s">
        <v>29</v>
      </c>
      <c r="D141" s="23">
        <v>18</v>
      </c>
      <c r="E141" s="24">
        <v>8.25</v>
      </c>
      <c r="F141" s="25">
        <v>11.1</v>
      </c>
      <c r="G141" s="25">
        <v>38</v>
      </c>
      <c r="H141" s="26">
        <v>964</v>
      </c>
      <c r="I141" s="26">
        <v>17</v>
      </c>
      <c r="J141" s="25">
        <v>20.8</v>
      </c>
      <c r="K141" s="26">
        <v>6945</v>
      </c>
      <c r="L141" s="26">
        <v>131</v>
      </c>
      <c r="M141" s="26">
        <v>3150</v>
      </c>
      <c r="N141" s="26">
        <v>900</v>
      </c>
      <c r="O141" s="26">
        <v>6393</v>
      </c>
      <c r="P141" s="26">
        <v>131</v>
      </c>
      <c r="Q141" s="23">
        <v>2900</v>
      </c>
      <c r="R141" s="23">
        <v>900</v>
      </c>
      <c r="S141" s="23" t="s">
        <v>58</v>
      </c>
      <c r="T141" s="2"/>
      <c r="U141" s="2" t="s">
        <v>181</v>
      </c>
      <c r="V141" s="2" t="s">
        <v>181</v>
      </c>
      <c r="W141" s="5" t="s">
        <v>144</v>
      </c>
    </row>
    <row r="142" spans="2:23" x14ac:dyDescent="0.3">
      <c r="B142" s="7"/>
      <c r="C142" s="23" t="s">
        <v>135</v>
      </c>
      <c r="D142" s="23">
        <v>16</v>
      </c>
      <c r="E142" s="24">
        <v>8.25</v>
      </c>
      <c r="F142" s="25">
        <v>11.1</v>
      </c>
      <c r="G142" s="25">
        <v>35.1</v>
      </c>
      <c r="H142" s="26">
        <v>892</v>
      </c>
      <c r="I142" s="26">
        <v>14</v>
      </c>
      <c r="J142" s="25">
        <v>17.600000000000001</v>
      </c>
      <c r="K142" s="26">
        <v>6614</v>
      </c>
      <c r="L142" s="26">
        <v>123</v>
      </c>
      <c r="M142" s="26">
        <v>3000</v>
      </c>
      <c r="N142" s="26">
        <v>850</v>
      </c>
      <c r="O142" s="26">
        <v>6173</v>
      </c>
      <c r="P142" s="26">
        <v>123</v>
      </c>
      <c r="Q142" s="23">
        <v>2800</v>
      </c>
      <c r="R142" s="23">
        <v>850</v>
      </c>
      <c r="S142" s="23" t="s">
        <v>136</v>
      </c>
      <c r="T142" s="2"/>
      <c r="U142" s="2" t="s">
        <v>181</v>
      </c>
      <c r="V142" s="2" t="s">
        <v>181</v>
      </c>
      <c r="W142" s="5" t="s">
        <v>144</v>
      </c>
    </row>
    <row r="143" spans="2:23" x14ac:dyDescent="0.3">
      <c r="B143" s="7"/>
      <c r="C143" s="23" t="s">
        <v>62</v>
      </c>
      <c r="D143" s="23">
        <v>18</v>
      </c>
      <c r="E143" s="24">
        <v>9</v>
      </c>
      <c r="F143" s="25">
        <v>12.3</v>
      </c>
      <c r="G143" s="25">
        <v>40.1</v>
      </c>
      <c r="H143" s="26">
        <v>1018</v>
      </c>
      <c r="I143" s="26">
        <v>16</v>
      </c>
      <c r="J143" s="25">
        <v>19.5</v>
      </c>
      <c r="K143" s="26">
        <v>8818</v>
      </c>
      <c r="L143" s="26">
        <v>131</v>
      </c>
      <c r="M143" s="26">
        <v>4000</v>
      </c>
      <c r="N143" s="26">
        <v>900</v>
      </c>
      <c r="O143" s="26">
        <v>7385</v>
      </c>
      <c r="P143" s="26">
        <v>131</v>
      </c>
      <c r="Q143" s="23">
        <v>3350</v>
      </c>
      <c r="R143" s="23">
        <v>900</v>
      </c>
      <c r="S143" s="23" t="s">
        <v>102</v>
      </c>
      <c r="T143" s="2"/>
      <c r="U143" s="2" t="s">
        <v>181</v>
      </c>
      <c r="V143" s="2" t="s">
        <v>181</v>
      </c>
      <c r="W143" s="5" t="s">
        <v>144</v>
      </c>
    </row>
    <row r="144" spans="2:23" x14ac:dyDescent="0.3">
      <c r="B144" s="7"/>
      <c r="C144" s="23" t="s">
        <v>16</v>
      </c>
      <c r="D144" s="23">
        <v>18</v>
      </c>
      <c r="E144" s="24">
        <v>9</v>
      </c>
      <c r="F144" s="25">
        <v>12.4</v>
      </c>
      <c r="G144" s="25">
        <v>42.7</v>
      </c>
      <c r="H144" s="26">
        <v>1085</v>
      </c>
      <c r="I144" s="26">
        <v>17</v>
      </c>
      <c r="J144" s="25">
        <v>20.8</v>
      </c>
      <c r="K144" s="26">
        <v>9370</v>
      </c>
      <c r="L144" s="26">
        <v>131</v>
      </c>
      <c r="M144" s="26">
        <v>4250</v>
      </c>
      <c r="N144" s="26">
        <v>900</v>
      </c>
      <c r="O144" s="26">
        <v>7385</v>
      </c>
      <c r="P144" s="26">
        <v>131</v>
      </c>
      <c r="Q144" s="23">
        <v>3350</v>
      </c>
      <c r="R144" s="23">
        <v>900</v>
      </c>
      <c r="S144" s="23" t="s">
        <v>146</v>
      </c>
      <c r="T144" s="2"/>
      <c r="U144" s="2" t="s">
        <v>181</v>
      </c>
      <c r="V144" s="2" t="s">
        <v>181</v>
      </c>
      <c r="W144" s="5" t="s">
        <v>144</v>
      </c>
    </row>
    <row r="145" spans="2:23" x14ac:dyDescent="0.3">
      <c r="B145" s="7"/>
      <c r="C145" s="23" t="s">
        <v>16</v>
      </c>
      <c r="D145" s="23">
        <v>20</v>
      </c>
      <c r="E145" s="24">
        <v>9</v>
      </c>
      <c r="F145" s="25">
        <v>12.5</v>
      </c>
      <c r="G145" s="25">
        <v>42.6</v>
      </c>
      <c r="H145" s="26">
        <v>1083</v>
      </c>
      <c r="I145" s="26">
        <v>17</v>
      </c>
      <c r="J145" s="25">
        <v>20.8</v>
      </c>
      <c r="K145" s="26">
        <v>9370</v>
      </c>
      <c r="L145" s="26">
        <v>131</v>
      </c>
      <c r="M145" s="26">
        <v>4250</v>
      </c>
      <c r="N145" s="26">
        <v>900</v>
      </c>
      <c r="O145" s="26">
        <v>7385</v>
      </c>
      <c r="P145" s="26">
        <v>131</v>
      </c>
      <c r="Q145" s="23">
        <v>3350</v>
      </c>
      <c r="R145" s="23">
        <v>900</v>
      </c>
      <c r="S145" s="23" t="s">
        <v>147</v>
      </c>
      <c r="T145" s="2"/>
      <c r="U145" s="2" t="s">
        <v>181</v>
      </c>
      <c r="V145" s="2"/>
      <c r="W145" s="5" t="s">
        <v>144</v>
      </c>
    </row>
    <row r="146" spans="2:23" x14ac:dyDescent="0.3">
      <c r="B146" s="7" t="s">
        <v>189</v>
      </c>
      <c r="C146" s="23" t="s">
        <v>81</v>
      </c>
      <c r="D146" s="23">
        <v>20</v>
      </c>
      <c r="E146" s="24">
        <v>11.75</v>
      </c>
      <c r="F146" s="25">
        <v>15.1</v>
      </c>
      <c r="G146" s="25">
        <v>42.2</v>
      </c>
      <c r="H146" s="26">
        <v>1072</v>
      </c>
      <c r="I146" s="26">
        <v>15</v>
      </c>
      <c r="J146" s="25">
        <v>18.899999999999999</v>
      </c>
      <c r="K146" s="26">
        <v>11023</v>
      </c>
      <c r="L146" s="26">
        <v>131</v>
      </c>
      <c r="M146" s="26">
        <v>5000</v>
      </c>
      <c r="N146" s="26">
        <v>900</v>
      </c>
      <c r="O146" s="26"/>
      <c r="P146" s="26"/>
      <c r="Q146" s="23"/>
      <c r="R146" s="23"/>
      <c r="S146" s="23" t="s">
        <v>82</v>
      </c>
      <c r="T146" s="2"/>
      <c r="U146" s="2" t="s">
        <v>181</v>
      </c>
      <c r="V146" s="2" t="s">
        <v>181</v>
      </c>
      <c r="W146" s="5" t="s">
        <v>148</v>
      </c>
    </row>
    <row r="147" spans="2:23" x14ac:dyDescent="0.3">
      <c r="B147" s="7" t="s">
        <v>190</v>
      </c>
      <c r="C147" s="23" t="s">
        <v>47</v>
      </c>
      <c r="D147" s="23">
        <v>18</v>
      </c>
      <c r="E147" s="24">
        <v>6</v>
      </c>
      <c r="F147" s="25">
        <v>8.6</v>
      </c>
      <c r="G147" s="25">
        <v>29.9</v>
      </c>
      <c r="H147" s="26">
        <v>760</v>
      </c>
      <c r="I147" s="26">
        <v>13</v>
      </c>
      <c r="J147" s="25">
        <v>15.7</v>
      </c>
      <c r="K147" s="26">
        <v>4938</v>
      </c>
      <c r="L147" s="26">
        <v>123</v>
      </c>
      <c r="M147" s="26">
        <v>2240</v>
      </c>
      <c r="N147" s="26">
        <v>850</v>
      </c>
      <c r="O147" s="26">
        <v>4674</v>
      </c>
      <c r="P147" s="26">
        <v>123</v>
      </c>
      <c r="Q147" s="23">
        <v>2120</v>
      </c>
      <c r="R147" s="23">
        <v>850</v>
      </c>
      <c r="S147" s="23" t="s">
        <v>149</v>
      </c>
      <c r="T147" s="2"/>
      <c r="U147" s="2" t="s">
        <v>181</v>
      </c>
      <c r="V147" s="2" t="s">
        <v>181</v>
      </c>
      <c r="W147" s="5" t="s">
        <v>150</v>
      </c>
    </row>
    <row r="148" spans="2:23" x14ac:dyDescent="0.3">
      <c r="B148" s="7"/>
      <c r="C148" s="23" t="s">
        <v>49</v>
      </c>
      <c r="D148" s="23">
        <v>18</v>
      </c>
      <c r="E148" s="24">
        <v>6.75</v>
      </c>
      <c r="F148" s="25">
        <v>9.3000000000000007</v>
      </c>
      <c r="G148" s="25">
        <v>31.2</v>
      </c>
      <c r="H148" s="26">
        <v>792</v>
      </c>
      <c r="I148" s="26">
        <v>13</v>
      </c>
      <c r="J148" s="25">
        <v>15.7</v>
      </c>
      <c r="K148" s="26">
        <v>6008</v>
      </c>
      <c r="L148" s="26">
        <v>127</v>
      </c>
      <c r="M148" s="26">
        <v>2725</v>
      </c>
      <c r="N148" s="26">
        <v>875</v>
      </c>
      <c r="O148" s="26">
        <v>5677</v>
      </c>
      <c r="P148" s="26">
        <v>127</v>
      </c>
      <c r="Q148" s="23">
        <v>2575</v>
      </c>
      <c r="R148" s="23">
        <v>875</v>
      </c>
      <c r="S148" s="23" t="s">
        <v>50</v>
      </c>
      <c r="T148" s="2"/>
      <c r="U148" s="2" t="s">
        <v>181</v>
      </c>
      <c r="V148" s="2" t="s">
        <v>181</v>
      </c>
      <c r="W148" s="5" t="s">
        <v>150</v>
      </c>
    </row>
    <row r="149" spans="2:23" x14ac:dyDescent="0.3">
      <c r="B149" s="7"/>
      <c r="C149" s="23" t="s">
        <v>51</v>
      </c>
      <c r="D149" s="23">
        <v>18</v>
      </c>
      <c r="E149" s="24">
        <v>7.5</v>
      </c>
      <c r="F149" s="25">
        <v>9.9</v>
      </c>
      <c r="G149" s="25">
        <v>30.8</v>
      </c>
      <c r="H149" s="26">
        <v>783</v>
      </c>
      <c r="I149" s="26">
        <v>11</v>
      </c>
      <c r="J149" s="25">
        <v>13.9</v>
      </c>
      <c r="K149" s="26">
        <v>6008</v>
      </c>
      <c r="L149" s="26">
        <v>127</v>
      </c>
      <c r="M149" s="26">
        <v>2725</v>
      </c>
      <c r="N149" s="26">
        <v>875</v>
      </c>
      <c r="O149" s="26">
        <v>5677</v>
      </c>
      <c r="P149" s="26">
        <v>127</v>
      </c>
      <c r="Q149" s="23">
        <v>2575</v>
      </c>
      <c r="R149" s="23">
        <v>875</v>
      </c>
      <c r="S149" s="23" t="s">
        <v>50</v>
      </c>
      <c r="T149" s="2"/>
      <c r="U149" s="2" t="s">
        <v>181</v>
      </c>
      <c r="V149" s="2" t="s">
        <v>181</v>
      </c>
      <c r="W149" s="5" t="s">
        <v>150</v>
      </c>
    </row>
    <row r="150" spans="2:23" x14ac:dyDescent="0.3">
      <c r="B150" s="7"/>
      <c r="C150" s="23" t="s">
        <v>135</v>
      </c>
      <c r="D150" s="23">
        <v>18</v>
      </c>
      <c r="E150" s="24">
        <v>8.25</v>
      </c>
      <c r="F150" s="25">
        <v>11</v>
      </c>
      <c r="G150" s="25">
        <v>35.1</v>
      </c>
      <c r="H150" s="26">
        <v>891</v>
      </c>
      <c r="I150" s="26">
        <v>15</v>
      </c>
      <c r="J150" s="25">
        <v>18.3</v>
      </c>
      <c r="K150" s="26">
        <v>7385</v>
      </c>
      <c r="L150" s="26">
        <v>131</v>
      </c>
      <c r="M150" s="26">
        <v>3350</v>
      </c>
      <c r="N150" s="26">
        <v>900</v>
      </c>
      <c r="O150" s="26">
        <v>6945</v>
      </c>
      <c r="P150" s="26">
        <v>131</v>
      </c>
      <c r="Q150" s="23">
        <v>3150</v>
      </c>
      <c r="R150" s="23">
        <v>900</v>
      </c>
      <c r="S150" s="23" t="s">
        <v>151</v>
      </c>
      <c r="T150" s="2"/>
      <c r="U150" s="2" t="s">
        <v>181</v>
      </c>
      <c r="V150" s="2" t="s">
        <v>181</v>
      </c>
      <c r="W150" s="5" t="s">
        <v>150</v>
      </c>
    </row>
    <row r="151" spans="2:23" x14ac:dyDescent="0.3">
      <c r="B151" s="7"/>
      <c r="C151" s="23" t="s">
        <v>81</v>
      </c>
      <c r="D151" s="23">
        <v>20</v>
      </c>
      <c r="E151" s="24">
        <v>11.75</v>
      </c>
      <c r="F151" s="25">
        <v>15.3</v>
      </c>
      <c r="G151" s="25">
        <v>42.1</v>
      </c>
      <c r="H151" s="26">
        <v>1068</v>
      </c>
      <c r="I151" s="26">
        <v>17</v>
      </c>
      <c r="J151" s="25">
        <v>20.8</v>
      </c>
      <c r="K151" s="26">
        <v>11023</v>
      </c>
      <c r="L151" s="26">
        <v>131</v>
      </c>
      <c r="M151" s="26">
        <v>5000</v>
      </c>
      <c r="N151" s="26">
        <v>900</v>
      </c>
      <c r="O151" s="26"/>
      <c r="P151" s="26"/>
      <c r="Q151" s="23"/>
      <c r="R151" s="23"/>
      <c r="S151" s="23" t="s">
        <v>82</v>
      </c>
      <c r="T151" s="2"/>
      <c r="U151" s="2" t="s">
        <v>181</v>
      </c>
      <c r="V151" s="2" t="s">
        <v>181</v>
      </c>
      <c r="W151" s="5" t="s">
        <v>150</v>
      </c>
    </row>
    <row r="152" spans="2:23" x14ac:dyDescent="0.3">
      <c r="B152" s="7"/>
      <c r="C152" s="23" t="s">
        <v>83</v>
      </c>
      <c r="D152" s="23">
        <v>20</v>
      </c>
      <c r="E152" s="24">
        <v>13</v>
      </c>
      <c r="F152" s="25">
        <v>16.3</v>
      </c>
      <c r="G152" s="25">
        <v>44.1</v>
      </c>
      <c r="H152" s="26">
        <v>1119</v>
      </c>
      <c r="I152" s="26">
        <v>17</v>
      </c>
      <c r="J152" s="25">
        <v>20.8</v>
      </c>
      <c r="K152" s="26">
        <v>11354</v>
      </c>
      <c r="L152" s="26">
        <v>120</v>
      </c>
      <c r="M152" s="26">
        <v>5150</v>
      </c>
      <c r="N152" s="26">
        <v>825</v>
      </c>
      <c r="O152" s="26"/>
      <c r="P152" s="26"/>
      <c r="Q152" s="23"/>
      <c r="R152" s="23"/>
      <c r="S152" s="23" t="s">
        <v>84</v>
      </c>
      <c r="T152" s="2"/>
      <c r="U152" s="2" t="s">
        <v>181</v>
      </c>
      <c r="V152" s="2" t="s">
        <v>181</v>
      </c>
      <c r="W152" s="5" t="s">
        <v>150</v>
      </c>
    </row>
    <row r="153" spans="2:23" x14ac:dyDescent="0.3">
      <c r="B153" s="7"/>
      <c r="C153" s="23" t="s">
        <v>85</v>
      </c>
      <c r="D153" s="23">
        <v>20</v>
      </c>
      <c r="E153" s="24">
        <v>13</v>
      </c>
      <c r="F153" s="25">
        <v>17.3</v>
      </c>
      <c r="G153" s="25">
        <v>45.1</v>
      </c>
      <c r="H153" s="26">
        <v>1146</v>
      </c>
      <c r="I153" s="26">
        <v>17</v>
      </c>
      <c r="J153" s="25">
        <v>20.8</v>
      </c>
      <c r="K153" s="26">
        <v>12787</v>
      </c>
      <c r="L153" s="26">
        <v>131</v>
      </c>
      <c r="M153" s="26">
        <v>5800</v>
      </c>
      <c r="N153" s="26">
        <v>900</v>
      </c>
      <c r="O153" s="26"/>
      <c r="P153" s="26"/>
      <c r="Q153" s="23"/>
      <c r="R153" s="23"/>
      <c r="S153" s="23" t="s">
        <v>86</v>
      </c>
      <c r="T153" s="2"/>
      <c r="U153" s="2" t="s">
        <v>181</v>
      </c>
      <c r="V153" s="2" t="s">
        <v>181</v>
      </c>
      <c r="W153" s="5" t="s">
        <v>150</v>
      </c>
    </row>
    <row r="154" spans="2:23" x14ac:dyDescent="0.3">
      <c r="B154" s="7" t="s">
        <v>191</v>
      </c>
      <c r="C154" s="23" t="s">
        <v>11</v>
      </c>
      <c r="D154" s="23">
        <v>16</v>
      </c>
      <c r="E154" s="24">
        <v>8.25</v>
      </c>
      <c r="F154" s="25">
        <v>10.9</v>
      </c>
      <c r="G154" s="25">
        <v>41.3</v>
      </c>
      <c r="H154" s="26">
        <v>1050</v>
      </c>
      <c r="I154" s="26">
        <v>15</v>
      </c>
      <c r="J154" s="25">
        <v>18.899999999999999</v>
      </c>
      <c r="K154" s="26">
        <v>6945</v>
      </c>
      <c r="L154" s="26">
        <v>120</v>
      </c>
      <c r="M154" s="26">
        <v>3150</v>
      </c>
      <c r="N154" s="26">
        <v>830</v>
      </c>
      <c r="O154" s="26">
        <v>6393</v>
      </c>
      <c r="P154" s="26">
        <v>120</v>
      </c>
      <c r="Q154" s="23">
        <v>2900</v>
      </c>
      <c r="R154" s="23">
        <v>830</v>
      </c>
      <c r="S154" s="23" t="s">
        <v>30</v>
      </c>
      <c r="T154" s="2"/>
      <c r="U154" s="2" t="s">
        <v>181</v>
      </c>
      <c r="V154" s="2"/>
      <c r="W154" s="5" t="s">
        <v>152</v>
      </c>
    </row>
    <row r="155" spans="2:23" x14ac:dyDescent="0.3">
      <c r="B155" s="7" t="s">
        <v>192</v>
      </c>
      <c r="C155" s="23" t="s">
        <v>11</v>
      </c>
      <c r="D155" s="23">
        <v>16</v>
      </c>
      <c r="E155" s="24">
        <v>8.25</v>
      </c>
      <c r="F155" s="25">
        <v>10.9</v>
      </c>
      <c r="G155" s="25">
        <v>42</v>
      </c>
      <c r="H155" s="26">
        <v>1066</v>
      </c>
      <c r="I155" s="26">
        <v>23</v>
      </c>
      <c r="J155" s="25">
        <v>28.3</v>
      </c>
      <c r="K155" s="26">
        <v>6614</v>
      </c>
      <c r="L155" s="26">
        <v>120</v>
      </c>
      <c r="M155" s="26">
        <v>3000</v>
      </c>
      <c r="N155" s="26">
        <v>830</v>
      </c>
      <c r="O155" s="26">
        <v>6008</v>
      </c>
      <c r="P155" s="26">
        <v>120</v>
      </c>
      <c r="Q155" s="23">
        <v>2725</v>
      </c>
      <c r="R155" s="23">
        <v>830</v>
      </c>
      <c r="S155" s="23" t="s">
        <v>60</v>
      </c>
      <c r="T155" s="2"/>
      <c r="U155" s="2" t="s">
        <v>181</v>
      </c>
      <c r="V155" s="2" t="s">
        <v>181</v>
      </c>
      <c r="W155" s="5" t="s">
        <v>153</v>
      </c>
    </row>
    <row r="156" spans="2:23" x14ac:dyDescent="0.3">
      <c r="B156" s="7"/>
      <c r="C156" s="23" t="s">
        <v>22</v>
      </c>
      <c r="D156" s="23">
        <v>16</v>
      </c>
      <c r="E156" s="24">
        <v>8.25</v>
      </c>
      <c r="F156" s="25">
        <v>11.3</v>
      </c>
      <c r="G156" s="25">
        <v>43.6</v>
      </c>
      <c r="H156" s="26">
        <v>1107</v>
      </c>
      <c r="I156" s="26">
        <v>23</v>
      </c>
      <c r="J156" s="25">
        <v>28.3</v>
      </c>
      <c r="K156" s="26">
        <v>7165</v>
      </c>
      <c r="L156" s="26">
        <v>120</v>
      </c>
      <c r="M156" s="26">
        <v>3250</v>
      </c>
      <c r="N156" s="26">
        <v>830</v>
      </c>
      <c r="O156" s="26">
        <v>6614</v>
      </c>
      <c r="P156" s="26">
        <v>120</v>
      </c>
      <c r="Q156" s="23">
        <v>3000</v>
      </c>
      <c r="R156" s="23">
        <v>830</v>
      </c>
      <c r="S156" s="23" t="s">
        <v>61</v>
      </c>
      <c r="T156" s="2"/>
      <c r="U156" s="2" t="s">
        <v>181</v>
      </c>
      <c r="V156" s="2" t="s">
        <v>181</v>
      </c>
      <c r="W156" s="5" t="s">
        <v>153</v>
      </c>
    </row>
    <row r="157" spans="2:23" x14ac:dyDescent="0.3">
      <c r="B157" s="7"/>
      <c r="C157" s="23" t="s">
        <v>11</v>
      </c>
      <c r="D157" s="23">
        <v>16</v>
      </c>
      <c r="E157" s="24">
        <v>8.25</v>
      </c>
      <c r="F157" s="25">
        <v>10.8</v>
      </c>
      <c r="G157" s="25">
        <v>42.1</v>
      </c>
      <c r="H157" s="26">
        <v>1068</v>
      </c>
      <c r="I157" s="26">
        <v>25</v>
      </c>
      <c r="J157" s="25">
        <v>30.9</v>
      </c>
      <c r="K157" s="26">
        <v>6614</v>
      </c>
      <c r="L157" s="26">
        <v>120</v>
      </c>
      <c r="M157" s="26">
        <v>3000</v>
      </c>
      <c r="N157" s="26">
        <v>830</v>
      </c>
      <c r="O157" s="26">
        <v>6008</v>
      </c>
      <c r="P157" s="26">
        <v>120</v>
      </c>
      <c r="Q157" s="23">
        <v>2725</v>
      </c>
      <c r="R157" s="23">
        <v>830</v>
      </c>
      <c r="S157" s="23" t="s">
        <v>21</v>
      </c>
      <c r="T157" s="2"/>
      <c r="U157" s="2" t="s">
        <v>181</v>
      </c>
      <c r="V157" s="2"/>
      <c r="W157" s="5" t="s">
        <v>154</v>
      </c>
    </row>
    <row r="158" spans="2:23" x14ac:dyDescent="0.3">
      <c r="B158" s="7"/>
      <c r="C158" s="23" t="s">
        <v>22</v>
      </c>
      <c r="D158" s="23">
        <v>16</v>
      </c>
      <c r="E158" s="24">
        <v>8.25</v>
      </c>
      <c r="F158" s="25">
        <v>11.4</v>
      </c>
      <c r="G158" s="25">
        <v>43.6</v>
      </c>
      <c r="H158" s="26">
        <v>1108</v>
      </c>
      <c r="I158" s="26">
        <v>23</v>
      </c>
      <c r="J158" s="25">
        <v>29</v>
      </c>
      <c r="K158" s="26">
        <v>7165</v>
      </c>
      <c r="L158" s="26">
        <v>120</v>
      </c>
      <c r="M158" s="26">
        <v>3250</v>
      </c>
      <c r="N158" s="26">
        <v>830</v>
      </c>
      <c r="O158" s="26">
        <v>6614</v>
      </c>
      <c r="P158" s="26">
        <v>120</v>
      </c>
      <c r="Q158" s="23">
        <v>3000</v>
      </c>
      <c r="R158" s="23">
        <v>830</v>
      </c>
      <c r="S158" s="23" t="s">
        <v>23</v>
      </c>
      <c r="T158" s="2"/>
      <c r="U158" s="2" t="s">
        <v>181</v>
      </c>
      <c r="V158" s="2"/>
      <c r="W158" s="5" t="s">
        <v>154</v>
      </c>
    </row>
    <row r="159" spans="2:23" x14ac:dyDescent="0.3">
      <c r="B159" s="7"/>
      <c r="C159" s="23" t="s">
        <v>27</v>
      </c>
      <c r="D159" s="23">
        <v>18</v>
      </c>
      <c r="E159" s="24">
        <v>9</v>
      </c>
      <c r="F159" s="25">
        <v>11.9</v>
      </c>
      <c r="G159" s="25">
        <v>43.2</v>
      </c>
      <c r="H159" s="26">
        <v>1096</v>
      </c>
      <c r="I159" s="26">
        <v>24</v>
      </c>
      <c r="J159" s="25">
        <v>29.6</v>
      </c>
      <c r="K159" s="26">
        <v>7826</v>
      </c>
      <c r="L159" s="26">
        <v>135</v>
      </c>
      <c r="M159" s="26">
        <v>3550</v>
      </c>
      <c r="N159" s="26">
        <v>930</v>
      </c>
      <c r="O159" s="26">
        <v>7165</v>
      </c>
      <c r="P159" s="26">
        <v>135</v>
      </c>
      <c r="Q159" s="23">
        <v>3250</v>
      </c>
      <c r="R159" s="23">
        <v>930</v>
      </c>
      <c r="S159" s="23" t="s">
        <v>28</v>
      </c>
      <c r="T159" s="2"/>
      <c r="U159" s="2" t="s">
        <v>181</v>
      </c>
      <c r="V159" s="2"/>
      <c r="W159" s="5" t="s">
        <v>154</v>
      </c>
    </row>
    <row r="160" spans="2:23" x14ac:dyDescent="0.3">
      <c r="B160" s="7"/>
      <c r="C160" s="23" t="s">
        <v>14</v>
      </c>
      <c r="D160" s="23">
        <v>18</v>
      </c>
      <c r="E160" s="24">
        <v>9.75</v>
      </c>
      <c r="F160" s="25">
        <v>12.7</v>
      </c>
      <c r="G160" s="25">
        <v>44.6</v>
      </c>
      <c r="H160" s="26">
        <v>1132</v>
      </c>
      <c r="I160" s="26">
        <v>22</v>
      </c>
      <c r="J160" s="25">
        <v>27.7</v>
      </c>
      <c r="K160" s="26">
        <v>8818</v>
      </c>
      <c r="L160" s="26">
        <v>127</v>
      </c>
      <c r="M160" s="26">
        <v>4000</v>
      </c>
      <c r="N160" s="26">
        <v>875</v>
      </c>
      <c r="O160" s="26">
        <v>7385</v>
      </c>
      <c r="P160" s="26">
        <v>127</v>
      </c>
      <c r="Q160" s="23">
        <v>3350</v>
      </c>
      <c r="R160" s="23">
        <v>875</v>
      </c>
      <c r="S160" s="23" t="s">
        <v>155</v>
      </c>
      <c r="T160" s="2"/>
      <c r="U160" s="2" t="s">
        <v>181</v>
      </c>
      <c r="V160" s="2" t="s">
        <v>181</v>
      </c>
      <c r="W160" s="5" t="s">
        <v>154</v>
      </c>
    </row>
    <row r="161" spans="1:23" x14ac:dyDescent="0.3">
      <c r="B161" s="7"/>
      <c r="C161" s="23" t="s">
        <v>16</v>
      </c>
      <c r="D161" s="23">
        <v>18</v>
      </c>
      <c r="E161" s="24">
        <v>9</v>
      </c>
      <c r="F161" s="25">
        <v>12.4</v>
      </c>
      <c r="G161" s="25">
        <v>43.1</v>
      </c>
      <c r="H161" s="26">
        <v>1095</v>
      </c>
      <c r="I161" s="26">
        <v>23</v>
      </c>
      <c r="J161" s="25">
        <v>29</v>
      </c>
      <c r="K161" s="26">
        <v>8818</v>
      </c>
      <c r="L161" s="26">
        <v>123</v>
      </c>
      <c r="M161" s="26">
        <v>4000</v>
      </c>
      <c r="N161" s="26">
        <v>850</v>
      </c>
      <c r="O161" s="26">
        <v>7385</v>
      </c>
      <c r="P161" s="26">
        <v>123</v>
      </c>
      <c r="Q161" s="23">
        <v>3350</v>
      </c>
      <c r="R161" s="23">
        <v>850</v>
      </c>
      <c r="S161" s="23" t="s">
        <v>155</v>
      </c>
      <c r="T161" s="2"/>
      <c r="U161" s="2" t="s">
        <v>181</v>
      </c>
      <c r="V161" s="2" t="s">
        <v>181</v>
      </c>
      <c r="W161" s="5" t="s">
        <v>154</v>
      </c>
    </row>
    <row r="162" spans="1:23" x14ac:dyDescent="0.3">
      <c r="B162" s="7"/>
      <c r="C162" s="23" t="s">
        <v>83</v>
      </c>
      <c r="D162" s="23">
        <v>20</v>
      </c>
      <c r="E162" s="24">
        <v>13</v>
      </c>
      <c r="F162" s="25">
        <v>17</v>
      </c>
      <c r="G162" s="25">
        <v>44.7</v>
      </c>
      <c r="H162" s="26">
        <v>1135</v>
      </c>
      <c r="I162" s="26">
        <v>24</v>
      </c>
      <c r="J162" s="25">
        <v>30.2</v>
      </c>
      <c r="K162" s="26">
        <v>11354</v>
      </c>
      <c r="L162" s="26">
        <v>120</v>
      </c>
      <c r="M162" s="26">
        <v>5150</v>
      </c>
      <c r="N162" s="26">
        <v>825</v>
      </c>
      <c r="O162" s="26"/>
      <c r="P162" s="26"/>
      <c r="Q162" s="23"/>
      <c r="R162" s="23"/>
      <c r="S162" s="23" t="s">
        <v>84</v>
      </c>
      <c r="T162" s="2"/>
      <c r="U162" s="2" t="s">
        <v>181</v>
      </c>
      <c r="V162" s="2" t="s">
        <v>181</v>
      </c>
      <c r="W162" s="5" t="s">
        <v>154</v>
      </c>
    </row>
    <row r="163" spans="1:23" x14ac:dyDescent="0.3">
      <c r="B163" s="7" t="s">
        <v>193</v>
      </c>
      <c r="C163" s="23" t="s">
        <v>11</v>
      </c>
      <c r="D163" s="23">
        <v>16</v>
      </c>
      <c r="E163" s="24">
        <v>8.25</v>
      </c>
      <c r="F163" s="25">
        <v>10.8</v>
      </c>
      <c r="G163" s="25">
        <v>41.7</v>
      </c>
      <c r="H163" s="26">
        <v>1058</v>
      </c>
      <c r="I163" s="26">
        <v>20</v>
      </c>
      <c r="J163" s="25">
        <v>25.2</v>
      </c>
      <c r="K163" s="26">
        <v>6614</v>
      </c>
      <c r="L163" s="26">
        <v>120</v>
      </c>
      <c r="M163" s="26">
        <v>3000</v>
      </c>
      <c r="N163" s="26">
        <v>830</v>
      </c>
      <c r="O163" s="26">
        <v>6008</v>
      </c>
      <c r="P163" s="26">
        <v>120</v>
      </c>
      <c r="Q163" s="23">
        <v>2725</v>
      </c>
      <c r="R163" s="23">
        <v>830</v>
      </c>
      <c r="S163" s="23" t="s">
        <v>21</v>
      </c>
      <c r="T163" s="2"/>
      <c r="U163" s="2" t="s">
        <v>181</v>
      </c>
      <c r="V163" s="2"/>
      <c r="W163" s="5" t="s">
        <v>156</v>
      </c>
    </row>
    <row r="164" spans="1:23" x14ac:dyDescent="0.3">
      <c r="B164" s="7"/>
      <c r="C164" s="23" t="s">
        <v>22</v>
      </c>
      <c r="D164" s="23">
        <v>16</v>
      </c>
      <c r="E164" s="24">
        <v>8.25</v>
      </c>
      <c r="F164" s="25">
        <v>11.4</v>
      </c>
      <c r="G164" s="25">
        <v>43.3</v>
      </c>
      <c r="H164" s="26">
        <v>1099</v>
      </c>
      <c r="I164" s="26">
        <v>19</v>
      </c>
      <c r="J164" s="25">
        <v>23.9</v>
      </c>
      <c r="K164" s="26">
        <v>7165</v>
      </c>
      <c r="L164" s="26">
        <v>120</v>
      </c>
      <c r="M164" s="26">
        <v>3250</v>
      </c>
      <c r="N164" s="26">
        <v>830</v>
      </c>
      <c r="O164" s="26">
        <v>6614</v>
      </c>
      <c r="P164" s="26">
        <v>120</v>
      </c>
      <c r="Q164" s="23">
        <v>3000</v>
      </c>
      <c r="R164" s="23">
        <v>830</v>
      </c>
      <c r="S164" s="23" t="s">
        <v>23</v>
      </c>
      <c r="T164" s="2"/>
      <c r="U164" s="2" t="s">
        <v>181</v>
      </c>
      <c r="V164" s="2"/>
      <c r="W164" s="5" t="s">
        <v>156</v>
      </c>
    </row>
    <row r="165" spans="1:23" x14ac:dyDescent="0.3">
      <c r="B165" s="7"/>
      <c r="C165" s="23" t="s">
        <v>14</v>
      </c>
      <c r="D165" s="23">
        <v>18</v>
      </c>
      <c r="E165" s="24">
        <v>9.75</v>
      </c>
      <c r="F165" s="25">
        <v>12.7</v>
      </c>
      <c r="G165" s="25">
        <v>44.3</v>
      </c>
      <c r="H165" s="26">
        <v>1126</v>
      </c>
      <c r="I165" s="26">
        <v>18</v>
      </c>
      <c r="J165" s="25">
        <v>22.7</v>
      </c>
      <c r="K165" s="26">
        <v>8818</v>
      </c>
      <c r="L165" s="26">
        <v>127</v>
      </c>
      <c r="M165" s="26">
        <v>4000</v>
      </c>
      <c r="N165" s="26">
        <v>875</v>
      </c>
      <c r="O165" s="26">
        <v>7385</v>
      </c>
      <c r="P165" s="26">
        <v>127</v>
      </c>
      <c r="Q165" s="23">
        <v>3350</v>
      </c>
      <c r="R165" s="23">
        <v>875</v>
      </c>
      <c r="S165" s="23" t="s">
        <v>157</v>
      </c>
      <c r="T165" s="2"/>
      <c r="U165" s="2" t="s">
        <v>181</v>
      </c>
      <c r="V165" s="2" t="s">
        <v>181</v>
      </c>
      <c r="W165" s="5" t="s">
        <v>156</v>
      </c>
    </row>
    <row r="166" spans="1:23" x14ac:dyDescent="0.3">
      <c r="B166" s="7"/>
      <c r="C166" s="23" t="s">
        <v>16</v>
      </c>
      <c r="D166" s="23">
        <v>18</v>
      </c>
      <c r="E166" s="24">
        <v>9</v>
      </c>
      <c r="F166" s="25">
        <v>12.5</v>
      </c>
      <c r="G166" s="25">
        <v>42.7</v>
      </c>
      <c r="H166" s="26">
        <v>1084</v>
      </c>
      <c r="I166" s="26">
        <v>17</v>
      </c>
      <c r="J166" s="25">
        <v>20.8</v>
      </c>
      <c r="K166" s="26">
        <v>9370</v>
      </c>
      <c r="L166" s="26">
        <v>131</v>
      </c>
      <c r="M166" s="26">
        <v>4250</v>
      </c>
      <c r="N166" s="26">
        <v>900</v>
      </c>
      <c r="O166" s="26">
        <v>7385</v>
      </c>
      <c r="P166" s="26">
        <v>131</v>
      </c>
      <c r="Q166" s="23">
        <v>3350</v>
      </c>
      <c r="R166" s="23">
        <v>900</v>
      </c>
      <c r="S166" s="23" t="s">
        <v>147</v>
      </c>
      <c r="T166" s="2"/>
      <c r="U166" s="2" t="s">
        <v>181</v>
      </c>
      <c r="V166" s="2" t="s">
        <v>181</v>
      </c>
      <c r="W166" s="5" t="s">
        <v>156</v>
      </c>
    </row>
    <row r="167" spans="1:23" x14ac:dyDescent="0.3">
      <c r="B167" s="7"/>
      <c r="C167" s="23" t="s">
        <v>83</v>
      </c>
      <c r="D167" s="23">
        <v>20</v>
      </c>
      <c r="E167" s="24">
        <v>13</v>
      </c>
      <c r="F167" s="25">
        <v>16.5</v>
      </c>
      <c r="G167" s="25">
        <v>44.3</v>
      </c>
      <c r="H167" s="26">
        <v>1125</v>
      </c>
      <c r="I167" s="26">
        <v>19</v>
      </c>
      <c r="J167" s="25">
        <v>23.9</v>
      </c>
      <c r="K167" s="26">
        <v>11354</v>
      </c>
      <c r="L167" s="26">
        <v>120</v>
      </c>
      <c r="M167" s="26">
        <v>5150</v>
      </c>
      <c r="N167" s="26">
        <v>825</v>
      </c>
      <c r="O167" s="26"/>
      <c r="P167" s="26"/>
      <c r="Q167" s="23"/>
      <c r="R167" s="23"/>
      <c r="S167" s="23" t="s">
        <v>84</v>
      </c>
      <c r="T167" s="2"/>
      <c r="U167" s="2" t="s">
        <v>181</v>
      </c>
      <c r="V167" s="2" t="s">
        <v>181</v>
      </c>
      <c r="W167" s="5" t="s">
        <v>156</v>
      </c>
    </row>
    <row r="168" spans="1:23" x14ac:dyDescent="0.3">
      <c r="B168" s="7" t="s">
        <v>194</v>
      </c>
      <c r="C168" s="23" t="s">
        <v>100</v>
      </c>
      <c r="D168" s="23">
        <v>18</v>
      </c>
      <c r="E168" s="24">
        <v>9</v>
      </c>
      <c r="F168" s="25">
        <v>11.5</v>
      </c>
      <c r="G168" s="25">
        <v>36.299999999999997</v>
      </c>
      <c r="H168" s="26">
        <v>922</v>
      </c>
      <c r="I168" s="26">
        <v>16</v>
      </c>
      <c r="J168" s="25">
        <v>19.5</v>
      </c>
      <c r="K168" s="26">
        <v>7385</v>
      </c>
      <c r="L168" s="26">
        <v>131</v>
      </c>
      <c r="M168" s="26">
        <v>3350</v>
      </c>
      <c r="N168" s="26">
        <v>900</v>
      </c>
      <c r="O168" s="26">
        <v>6779</v>
      </c>
      <c r="P168" s="26">
        <v>131</v>
      </c>
      <c r="Q168" s="23">
        <v>3075</v>
      </c>
      <c r="R168" s="23">
        <v>900</v>
      </c>
      <c r="S168" s="23" t="s">
        <v>74</v>
      </c>
      <c r="T168" s="2"/>
      <c r="U168" s="2" t="s">
        <v>181</v>
      </c>
      <c r="V168" s="2" t="s">
        <v>181</v>
      </c>
      <c r="W168" s="5" t="s">
        <v>158</v>
      </c>
    </row>
    <row r="169" spans="1:23" x14ac:dyDescent="0.3">
      <c r="B169" s="7"/>
      <c r="C169" s="23" t="s">
        <v>159</v>
      </c>
      <c r="D169" s="23">
        <v>20</v>
      </c>
      <c r="E169" s="24">
        <v>14</v>
      </c>
      <c r="F169" s="25">
        <v>17.399999999999999</v>
      </c>
      <c r="G169" s="25">
        <v>40.299999999999997</v>
      </c>
      <c r="H169" s="26">
        <v>1024</v>
      </c>
      <c r="I169" s="26">
        <v>20</v>
      </c>
      <c r="J169" s="25">
        <v>24.6</v>
      </c>
      <c r="K169" s="26">
        <v>10196</v>
      </c>
      <c r="L169" s="26">
        <v>120</v>
      </c>
      <c r="M169" s="26">
        <v>4625</v>
      </c>
      <c r="N169" s="26">
        <v>830</v>
      </c>
      <c r="O169" s="26"/>
      <c r="P169" s="26"/>
      <c r="Q169" s="23"/>
      <c r="R169" s="23"/>
      <c r="S169" s="23" t="s">
        <v>160</v>
      </c>
      <c r="T169" s="2"/>
      <c r="U169" s="2" t="s">
        <v>181</v>
      </c>
      <c r="V169" s="2"/>
      <c r="W169" s="5" t="s">
        <v>158</v>
      </c>
    </row>
    <row r="170" spans="1:23" x14ac:dyDescent="0.3">
      <c r="B170" s="7" t="s">
        <v>195</v>
      </c>
      <c r="C170" s="23" t="s">
        <v>161</v>
      </c>
      <c r="D170" s="23">
        <v>16</v>
      </c>
      <c r="E170" s="24">
        <v>9</v>
      </c>
      <c r="F170" s="25">
        <v>297</v>
      </c>
      <c r="G170" s="25">
        <v>40.4</v>
      </c>
      <c r="H170" s="26">
        <v>1025</v>
      </c>
      <c r="I170" s="26">
        <v>21</v>
      </c>
      <c r="J170" s="25">
        <v>26</v>
      </c>
      <c r="K170" s="26">
        <v>6600</v>
      </c>
      <c r="L170" s="26">
        <v>120</v>
      </c>
      <c r="M170" s="26">
        <v>3000</v>
      </c>
      <c r="N170" s="23">
        <v>830</v>
      </c>
      <c r="O170" s="26">
        <v>5995</v>
      </c>
      <c r="P170" s="26">
        <v>120</v>
      </c>
      <c r="Q170" s="23">
        <v>2725</v>
      </c>
      <c r="R170" s="23">
        <v>830</v>
      </c>
      <c r="S170" s="23" t="s">
        <v>60</v>
      </c>
      <c r="T170" s="2"/>
      <c r="U170" s="2" t="s">
        <v>181</v>
      </c>
      <c r="V170" s="2"/>
      <c r="W170" s="5" t="s">
        <v>162</v>
      </c>
    </row>
    <row r="171" spans="1:23" x14ac:dyDescent="0.3">
      <c r="B171" s="7"/>
      <c r="C171" s="23" t="s">
        <v>11</v>
      </c>
      <c r="D171" s="23">
        <v>16</v>
      </c>
      <c r="E171" s="24">
        <v>8.25</v>
      </c>
      <c r="F171" s="25">
        <v>11</v>
      </c>
      <c r="G171" s="25">
        <v>41.9</v>
      </c>
      <c r="H171" s="26">
        <v>1063</v>
      </c>
      <c r="I171" s="26">
        <v>21</v>
      </c>
      <c r="J171" s="25">
        <v>25.8</v>
      </c>
      <c r="K171" s="26">
        <v>6614</v>
      </c>
      <c r="L171" s="26">
        <v>120</v>
      </c>
      <c r="M171" s="26">
        <v>3000</v>
      </c>
      <c r="N171" s="26">
        <v>830</v>
      </c>
      <c r="O171" s="26">
        <v>6008</v>
      </c>
      <c r="P171" s="26">
        <v>120</v>
      </c>
      <c r="Q171" s="23">
        <v>2725</v>
      </c>
      <c r="R171" s="23">
        <v>830</v>
      </c>
      <c r="S171" s="23" t="s">
        <v>21</v>
      </c>
      <c r="T171" s="2" t="s">
        <v>181</v>
      </c>
      <c r="U171" s="2" t="s">
        <v>181</v>
      </c>
      <c r="V171" s="2"/>
      <c r="W171" s="5" t="s">
        <v>162</v>
      </c>
    </row>
    <row r="172" spans="1:23" x14ac:dyDescent="0.3">
      <c r="B172" s="7"/>
      <c r="C172" s="23" t="s">
        <v>22</v>
      </c>
      <c r="D172" s="23">
        <v>16</v>
      </c>
      <c r="E172" s="24">
        <v>8.25</v>
      </c>
      <c r="F172" s="25">
        <v>11.5</v>
      </c>
      <c r="G172" s="25">
        <v>43.5</v>
      </c>
      <c r="H172" s="26">
        <v>1105</v>
      </c>
      <c r="I172" s="26">
        <v>21</v>
      </c>
      <c r="J172" s="25">
        <v>25.8</v>
      </c>
      <c r="K172" s="26">
        <v>7165</v>
      </c>
      <c r="L172" s="26">
        <v>120</v>
      </c>
      <c r="M172" s="26">
        <v>3250</v>
      </c>
      <c r="N172" s="26">
        <v>830</v>
      </c>
      <c r="O172" s="26">
        <v>6614</v>
      </c>
      <c r="P172" s="26">
        <v>120</v>
      </c>
      <c r="Q172" s="23">
        <v>3000</v>
      </c>
      <c r="R172" s="23">
        <v>830</v>
      </c>
      <c r="S172" s="23" t="s">
        <v>23</v>
      </c>
      <c r="T172" s="2" t="s">
        <v>181</v>
      </c>
      <c r="U172" s="2" t="s">
        <v>181</v>
      </c>
      <c r="V172" s="2"/>
      <c r="W172" s="5" t="s">
        <v>162</v>
      </c>
    </row>
    <row r="173" spans="1:23" x14ac:dyDescent="0.3">
      <c r="A173" s="43"/>
      <c r="B173" s="7" t="s">
        <v>196</v>
      </c>
      <c r="C173" s="23" t="s">
        <v>161</v>
      </c>
      <c r="D173" s="23">
        <v>16</v>
      </c>
      <c r="E173" s="24">
        <v>9</v>
      </c>
      <c r="F173" s="25">
        <v>296</v>
      </c>
      <c r="G173" s="25">
        <v>39.9</v>
      </c>
      <c r="H173" s="26">
        <v>1014</v>
      </c>
      <c r="I173" s="26">
        <v>15</v>
      </c>
      <c r="J173" s="25">
        <v>18.899999999999999</v>
      </c>
      <c r="K173" s="26">
        <v>6600</v>
      </c>
      <c r="L173" s="26">
        <v>120</v>
      </c>
      <c r="M173" s="26">
        <v>3000</v>
      </c>
      <c r="N173" s="23">
        <v>830</v>
      </c>
      <c r="O173" s="26">
        <v>5995</v>
      </c>
      <c r="P173" s="26">
        <v>120</v>
      </c>
      <c r="Q173" s="23">
        <v>2725</v>
      </c>
      <c r="R173" s="23">
        <v>830</v>
      </c>
      <c r="S173" s="23" t="s">
        <v>60</v>
      </c>
      <c r="T173" s="2"/>
      <c r="U173" s="2" t="s">
        <v>181</v>
      </c>
      <c r="V173" s="2"/>
      <c r="W173" s="5" t="s">
        <v>163</v>
      </c>
    </row>
    <row r="174" spans="1:23" x14ac:dyDescent="0.3">
      <c r="A174" s="43"/>
      <c r="B174" s="7"/>
      <c r="C174" s="23" t="s">
        <v>11</v>
      </c>
      <c r="D174" s="23">
        <v>16</v>
      </c>
      <c r="E174" s="24">
        <v>8.25</v>
      </c>
      <c r="F174" s="25">
        <v>11.1</v>
      </c>
      <c r="G174" s="25">
        <v>41.4</v>
      </c>
      <c r="H174" s="26">
        <v>1051</v>
      </c>
      <c r="I174" s="26">
        <v>15</v>
      </c>
      <c r="J174" s="25">
        <v>18.899999999999999</v>
      </c>
      <c r="K174" s="26">
        <v>6614</v>
      </c>
      <c r="L174" s="26">
        <v>120</v>
      </c>
      <c r="M174" s="26">
        <v>3000</v>
      </c>
      <c r="N174" s="26">
        <v>830</v>
      </c>
      <c r="O174" s="26">
        <v>6008</v>
      </c>
      <c r="P174" s="26">
        <v>120</v>
      </c>
      <c r="Q174" s="23">
        <v>2725</v>
      </c>
      <c r="R174" s="23">
        <v>830</v>
      </c>
      <c r="S174" s="23" t="s">
        <v>60</v>
      </c>
      <c r="T174" s="2" t="s">
        <v>181</v>
      </c>
      <c r="U174" s="2" t="s">
        <v>181</v>
      </c>
      <c r="V174" s="2"/>
      <c r="W174" s="5" t="s">
        <v>163</v>
      </c>
    </row>
    <row r="175" spans="1:23" x14ac:dyDescent="0.3">
      <c r="A175" s="43"/>
      <c r="B175" s="7"/>
      <c r="C175" s="23" t="s">
        <v>22</v>
      </c>
      <c r="D175" s="23">
        <v>16</v>
      </c>
      <c r="E175" s="24">
        <v>8.25</v>
      </c>
      <c r="F175" s="25">
        <v>11.4</v>
      </c>
      <c r="G175" s="25">
        <v>43</v>
      </c>
      <c r="H175" s="26">
        <v>1093</v>
      </c>
      <c r="I175" s="26">
        <v>15</v>
      </c>
      <c r="J175" s="25">
        <v>18.899999999999999</v>
      </c>
      <c r="K175" s="26">
        <v>7165</v>
      </c>
      <c r="L175" s="26">
        <v>120</v>
      </c>
      <c r="M175" s="26">
        <v>3250</v>
      </c>
      <c r="N175" s="26">
        <v>830</v>
      </c>
      <c r="O175" s="26">
        <v>6614</v>
      </c>
      <c r="P175" s="26">
        <v>120</v>
      </c>
      <c r="Q175" s="23">
        <v>3000</v>
      </c>
      <c r="R175" s="23">
        <v>830</v>
      </c>
      <c r="S175" s="23" t="s">
        <v>61</v>
      </c>
      <c r="T175" s="2" t="s">
        <v>181</v>
      </c>
      <c r="U175" s="2" t="s">
        <v>181</v>
      </c>
      <c r="V175" s="2"/>
      <c r="W175" s="5" t="s">
        <v>163</v>
      </c>
    </row>
    <row r="176" spans="1:23" x14ac:dyDescent="0.3">
      <c r="B176" s="7" t="s">
        <v>197</v>
      </c>
      <c r="C176" s="23" t="s">
        <v>100</v>
      </c>
      <c r="D176" s="23">
        <v>18</v>
      </c>
      <c r="E176" s="24">
        <v>9</v>
      </c>
      <c r="F176" s="25">
        <v>11.4</v>
      </c>
      <c r="G176" s="25">
        <v>36.1</v>
      </c>
      <c r="H176" s="26">
        <v>916</v>
      </c>
      <c r="I176" s="26">
        <v>15</v>
      </c>
      <c r="J176" s="25">
        <v>18.3</v>
      </c>
      <c r="K176" s="26">
        <v>7385</v>
      </c>
      <c r="L176" s="26">
        <v>131</v>
      </c>
      <c r="M176" s="26">
        <v>3350</v>
      </c>
      <c r="N176" s="26">
        <v>900</v>
      </c>
      <c r="O176" s="26">
        <v>6779</v>
      </c>
      <c r="P176" s="26">
        <v>131</v>
      </c>
      <c r="Q176" s="23">
        <v>3075</v>
      </c>
      <c r="R176" s="23">
        <v>900</v>
      </c>
      <c r="S176" s="23" t="s">
        <v>74</v>
      </c>
      <c r="T176" s="2"/>
      <c r="U176" s="2" t="s">
        <v>181</v>
      </c>
      <c r="V176" s="2" t="s">
        <v>181</v>
      </c>
      <c r="W176" s="5" t="s">
        <v>164</v>
      </c>
    </row>
    <row r="177" spans="2:23" x14ac:dyDescent="0.3">
      <c r="B177" s="7"/>
      <c r="C177" s="23" t="s">
        <v>62</v>
      </c>
      <c r="D177" s="23">
        <v>18</v>
      </c>
      <c r="E177" s="24">
        <v>9</v>
      </c>
      <c r="F177" s="25">
        <v>12.4</v>
      </c>
      <c r="G177" s="25">
        <v>40.200000000000003</v>
      </c>
      <c r="H177" s="26">
        <v>1020</v>
      </c>
      <c r="I177" s="26">
        <v>15</v>
      </c>
      <c r="J177" s="25">
        <v>18.3</v>
      </c>
      <c r="K177" s="26">
        <v>8818</v>
      </c>
      <c r="L177" s="26">
        <v>131</v>
      </c>
      <c r="M177" s="26">
        <v>4000</v>
      </c>
      <c r="N177" s="26">
        <v>900</v>
      </c>
      <c r="O177" s="26">
        <v>7385</v>
      </c>
      <c r="P177" s="26">
        <v>131</v>
      </c>
      <c r="Q177" s="23">
        <v>3350</v>
      </c>
      <c r="R177" s="23">
        <v>900</v>
      </c>
      <c r="S177" s="23" t="s">
        <v>102</v>
      </c>
      <c r="T177" s="2"/>
      <c r="U177" s="2" t="s">
        <v>181</v>
      </c>
      <c r="V177" s="2" t="s">
        <v>181</v>
      </c>
      <c r="W177" s="5" t="s">
        <v>164</v>
      </c>
    </row>
    <row r="178" spans="2:23" x14ac:dyDescent="0.3">
      <c r="B178" s="7"/>
      <c r="C178" s="23" t="s">
        <v>16</v>
      </c>
      <c r="D178" s="23">
        <v>18</v>
      </c>
      <c r="E178" s="24">
        <v>9</v>
      </c>
      <c r="F178" s="25">
        <v>12.3</v>
      </c>
      <c r="G178" s="25">
        <v>42.5</v>
      </c>
      <c r="H178" s="26">
        <v>1081</v>
      </c>
      <c r="I178" s="26">
        <v>15</v>
      </c>
      <c r="J178" s="25">
        <v>18.3</v>
      </c>
      <c r="K178" s="26">
        <v>9370</v>
      </c>
      <c r="L178" s="26">
        <v>131</v>
      </c>
      <c r="M178" s="26">
        <v>4250</v>
      </c>
      <c r="N178" s="26">
        <v>900</v>
      </c>
      <c r="O178" s="26">
        <v>7385</v>
      </c>
      <c r="P178" s="26">
        <v>131</v>
      </c>
      <c r="Q178" s="23">
        <v>3350</v>
      </c>
      <c r="R178" s="23">
        <v>900</v>
      </c>
      <c r="S178" s="23" t="s">
        <v>146</v>
      </c>
      <c r="T178" s="2"/>
      <c r="U178" s="2" t="s">
        <v>181</v>
      </c>
      <c r="V178" s="2" t="s">
        <v>181</v>
      </c>
      <c r="W178" s="5" t="s">
        <v>164</v>
      </c>
    </row>
    <row r="179" spans="2:23" x14ac:dyDescent="0.3">
      <c r="B179" s="7" t="s">
        <v>198</v>
      </c>
      <c r="C179" s="23" t="s">
        <v>140</v>
      </c>
      <c r="D179" s="23">
        <v>20</v>
      </c>
      <c r="E179" s="24">
        <v>9.75</v>
      </c>
      <c r="F179" s="25">
        <v>12.2</v>
      </c>
      <c r="G179" s="25">
        <v>37.200000000000003</v>
      </c>
      <c r="H179" s="26">
        <v>944</v>
      </c>
      <c r="I179" s="26">
        <v>14</v>
      </c>
      <c r="J179" s="25">
        <v>17.600000000000001</v>
      </c>
      <c r="K179" s="26">
        <v>8267</v>
      </c>
      <c r="L179" s="26">
        <v>131</v>
      </c>
      <c r="M179" s="26">
        <v>3750</v>
      </c>
      <c r="N179" s="26">
        <v>900</v>
      </c>
      <c r="O179" s="26">
        <v>6945</v>
      </c>
      <c r="P179" s="26">
        <v>131</v>
      </c>
      <c r="Q179" s="23">
        <v>3150</v>
      </c>
      <c r="R179" s="23">
        <v>900</v>
      </c>
      <c r="S179" s="23" t="s">
        <v>165</v>
      </c>
      <c r="T179" s="2"/>
      <c r="U179" s="2" t="s">
        <v>181</v>
      </c>
      <c r="V179" s="2" t="s">
        <v>181</v>
      </c>
      <c r="W179" s="5" t="s">
        <v>166</v>
      </c>
    </row>
    <row r="180" spans="2:23" x14ac:dyDescent="0.3">
      <c r="B180" s="7" t="s">
        <v>199</v>
      </c>
      <c r="C180" s="23" t="s">
        <v>167</v>
      </c>
      <c r="D180" s="23">
        <v>20</v>
      </c>
      <c r="E180" s="24">
        <v>14</v>
      </c>
      <c r="F180" s="25">
        <v>17.2</v>
      </c>
      <c r="G180" s="25">
        <v>36.5</v>
      </c>
      <c r="H180" s="26">
        <v>927</v>
      </c>
      <c r="I180" s="26">
        <v>12</v>
      </c>
      <c r="J180" s="25">
        <v>15.1</v>
      </c>
      <c r="K180" s="26">
        <v>9921</v>
      </c>
      <c r="L180" s="26">
        <v>131</v>
      </c>
      <c r="M180" s="26">
        <v>4500</v>
      </c>
      <c r="N180" s="26">
        <v>900</v>
      </c>
      <c r="O180" s="26"/>
      <c r="P180" s="26"/>
      <c r="Q180" s="23"/>
      <c r="R180" s="23"/>
      <c r="S180" s="23" t="s">
        <v>168</v>
      </c>
      <c r="T180" s="2"/>
      <c r="U180" s="2" t="s">
        <v>181</v>
      </c>
      <c r="V180" s="2"/>
      <c r="W180" s="5" t="s">
        <v>169</v>
      </c>
    </row>
    <row r="181" spans="2:23" x14ac:dyDescent="0.3">
      <c r="B181" s="7" t="s">
        <v>200</v>
      </c>
      <c r="C181" s="23" t="s">
        <v>159</v>
      </c>
      <c r="D181" s="23">
        <v>20</v>
      </c>
      <c r="E181" s="24">
        <v>14</v>
      </c>
      <c r="F181" s="25">
        <v>17.399999999999999</v>
      </c>
      <c r="G181" s="25">
        <v>39.6</v>
      </c>
      <c r="H181" s="26">
        <v>1006</v>
      </c>
      <c r="I181" s="26">
        <v>11</v>
      </c>
      <c r="J181" s="25">
        <v>13.2</v>
      </c>
      <c r="K181" s="26">
        <v>10196</v>
      </c>
      <c r="L181" s="26">
        <v>120</v>
      </c>
      <c r="M181" s="26">
        <v>4625</v>
      </c>
      <c r="N181" s="26">
        <v>830</v>
      </c>
      <c r="O181" s="26"/>
      <c r="P181" s="26"/>
      <c r="Q181" s="23"/>
      <c r="R181" s="23"/>
      <c r="S181" s="23" t="s">
        <v>160</v>
      </c>
      <c r="T181" s="2"/>
      <c r="U181" s="2" t="s">
        <v>181</v>
      </c>
      <c r="V181" s="2"/>
      <c r="W181" s="5" t="s">
        <v>170</v>
      </c>
    </row>
    <row r="182" spans="2:23" x14ac:dyDescent="0.3">
      <c r="B182" s="7" t="s">
        <v>201</v>
      </c>
      <c r="C182" s="23" t="s">
        <v>11</v>
      </c>
      <c r="D182" s="23">
        <v>14</v>
      </c>
      <c r="E182" s="24">
        <v>8.25</v>
      </c>
      <c r="F182" s="25">
        <v>279</v>
      </c>
      <c r="G182" s="25">
        <v>41.3</v>
      </c>
      <c r="H182" s="26">
        <v>1050</v>
      </c>
      <c r="I182" s="26">
        <v>10</v>
      </c>
      <c r="J182" s="25">
        <v>12.6</v>
      </c>
      <c r="K182" s="26">
        <v>6160</v>
      </c>
      <c r="L182" s="26">
        <v>105</v>
      </c>
      <c r="M182" s="26">
        <v>2800</v>
      </c>
      <c r="N182" s="23">
        <v>720</v>
      </c>
      <c r="O182" s="26">
        <v>5830</v>
      </c>
      <c r="P182" s="26">
        <v>105</v>
      </c>
      <c r="Q182" s="23">
        <v>2650</v>
      </c>
      <c r="R182" s="23">
        <v>720</v>
      </c>
      <c r="S182" s="23" t="s">
        <v>43</v>
      </c>
      <c r="T182" s="2"/>
      <c r="U182" s="2" t="s">
        <v>181</v>
      </c>
      <c r="V182" s="2"/>
      <c r="W182" s="5" t="s">
        <v>171</v>
      </c>
    </row>
    <row r="183" spans="2:23" x14ac:dyDescent="0.3">
      <c r="B183" s="7"/>
      <c r="C183" s="23" t="s">
        <v>22</v>
      </c>
      <c r="D183" s="23">
        <v>14</v>
      </c>
      <c r="E183" s="24">
        <v>8.25</v>
      </c>
      <c r="F183" s="25">
        <v>11.5</v>
      </c>
      <c r="G183" s="25">
        <v>43.3</v>
      </c>
      <c r="H183" s="26">
        <v>1099</v>
      </c>
      <c r="I183" s="26">
        <v>10</v>
      </c>
      <c r="J183" s="25">
        <v>12.6</v>
      </c>
      <c r="K183" s="26">
        <v>6614</v>
      </c>
      <c r="L183" s="26">
        <v>104</v>
      </c>
      <c r="M183" s="26">
        <v>3000</v>
      </c>
      <c r="N183" s="26">
        <v>720</v>
      </c>
      <c r="O183" s="26">
        <v>6008</v>
      </c>
      <c r="P183" s="26">
        <v>104</v>
      </c>
      <c r="Q183" s="23">
        <v>2725</v>
      </c>
      <c r="R183" s="23">
        <v>720</v>
      </c>
      <c r="S183" s="23" t="s">
        <v>60</v>
      </c>
      <c r="T183" s="2" t="s">
        <v>181</v>
      </c>
      <c r="U183" s="2" t="s">
        <v>181</v>
      </c>
      <c r="V183" s="2"/>
      <c r="W183" s="5" t="s">
        <v>171</v>
      </c>
    </row>
    <row r="184" spans="2:23" x14ac:dyDescent="0.3">
      <c r="B184" s="7" t="s">
        <v>184</v>
      </c>
      <c r="C184" s="23" t="s">
        <v>11</v>
      </c>
      <c r="D184" s="23">
        <v>18</v>
      </c>
      <c r="E184" s="24">
        <v>8.25</v>
      </c>
      <c r="F184" s="25">
        <v>11.1</v>
      </c>
      <c r="G184" s="25">
        <v>42</v>
      </c>
      <c r="H184" s="26">
        <v>1068</v>
      </c>
      <c r="I184" s="26">
        <v>22</v>
      </c>
      <c r="J184" s="25">
        <v>27.7</v>
      </c>
      <c r="K184" s="26">
        <v>6945</v>
      </c>
      <c r="L184" s="26">
        <v>123</v>
      </c>
      <c r="M184" s="26">
        <v>3150</v>
      </c>
      <c r="N184" s="26">
        <v>850</v>
      </c>
      <c r="O184" s="26">
        <v>6393</v>
      </c>
      <c r="P184" s="26">
        <v>123</v>
      </c>
      <c r="Q184" s="23">
        <v>2900</v>
      </c>
      <c r="R184" s="23">
        <v>850</v>
      </c>
      <c r="S184" s="23" t="s">
        <v>172</v>
      </c>
      <c r="T184" s="2"/>
      <c r="U184" s="2" t="s">
        <v>181</v>
      </c>
      <c r="V184" s="2" t="s">
        <v>181</v>
      </c>
      <c r="W184" s="5" t="s">
        <v>173</v>
      </c>
    </row>
    <row r="185" spans="2:23" x14ac:dyDescent="0.3">
      <c r="B185" s="7"/>
      <c r="C185" s="23" t="s">
        <v>131</v>
      </c>
      <c r="D185" s="23">
        <v>14</v>
      </c>
      <c r="E185" s="24">
        <v>6.75</v>
      </c>
      <c r="F185" s="25">
        <v>9.1</v>
      </c>
      <c r="G185" s="25">
        <v>31.9</v>
      </c>
      <c r="H185" s="26">
        <v>809</v>
      </c>
      <c r="I185" s="26">
        <v>16</v>
      </c>
      <c r="J185" s="25">
        <v>19.5</v>
      </c>
      <c r="K185" s="26">
        <v>3417</v>
      </c>
      <c r="L185" s="26">
        <v>110</v>
      </c>
      <c r="M185" s="26">
        <v>1550</v>
      </c>
      <c r="N185" s="26">
        <v>760</v>
      </c>
      <c r="O185" s="26">
        <v>3307</v>
      </c>
      <c r="P185" s="26">
        <v>110</v>
      </c>
      <c r="Q185" s="23">
        <v>1500</v>
      </c>
      <c r="R185" s="23">
        <v>760</v>
      </c>
      <c r="S185" s="23" t="s">
        <v>132</v>
      </c>
      <c r="T185" s="2"/>
      <c r="U185" s="2" t="s">
        <v>181</v>
      </c>
      <c r="V185" s="2" t="s">
        <v>181</v>
      </c>
      <c r="W185" s="5" t="s">
        <v>173</v>
      </c>
    </row>
    <row r="186" spans="2:23" x14ac:dyDescent="0.3">
      <c r="B186" s="7"/>
      <c r="C186" s="23" t="s">
        <v>66</v>
      </c>
      <c r="D186" s="23">
        <v>16</v>
      </c>
      <c r="E186" s="24">
        <v>7.5</v>
      </c>
      <c r="F186" s="25">
        <v>9.8000000000000007</v>
      </c>
      <c r="G186" s="25">
        <v>33.700000000000003</v>
      </c>
      <c r="H186" s="26">
        <v>856</v>
      </c>
      <c r="I186" s="26">
        <v>20</v>
      </c>
      <c r="J186" s="25">
        <v>24.6</v>
      </c>
      <c r="K186" s="26">
        <v>4938</v>
      </c>
      <c r="L186" s="26">
        <v>120</v>
      </c>
      <c r="M186" s="26">
        <v>2240</v>
      </c>
      <c r="N186" s="26">
        <v>830</v>
      </c>
      <c r="O186" s="26">
        <v>4674</v>
      </c>
      <c r="P186" s="26">
        <v>120</v>
      </c>
      <c r="Q186" s="23">
        <v>2120</v>
      </c>
      <c r="R186" s="23">
        <v>830</v>
      </c>
      <c r="S186" s="23" t="s">
        <v>149</v>
      </c>
      <c r="T186" s="2"/>
      <c r="U186" s="2" t="s">
        <v>181</v>
      </c>
      <c r="V186" s="2" t="s">
        <v>181</v>
      </c>
      <c r="W186" s="5" t="s">
        <v>173</v>
      </c>
    </row>
    <row r="187" spans="2:23" x14ac:dyDescent="0.3">
      <c r="B187" s="7" t="s">
        <v>202</v>
      </c>
      <c r="C187" s="23" t="s">
        <v>11</v>
      </c>
      <c r="D187" s="23">
        <v>16</v>
      </c>
      <c r="E187" s="24">
        <v>8.25</v>
      </c>
      <c r="F187" s="25">
        <v>10.9</v>
      </c>
      <c r="G187" s="25">
        <v>41.7</v>
      </c>
      <c r="H187" s="26">
        <v>1060</v>
      </c>
      <c r="I187" s="26">
        <v>21</v>
      </c>
      <c r="J187" s="25">
        <v>26</v>
      </c>
      <c r="K187" s="26">
        <v>6614</v>
      </c>
      <c r="L187" s="26">
        <v>120</v>
      </c>
      <c r="M187" s="26">
        <v>3000</v>
      </c>
      <c r="N187" s="26">
        <v>830</v>
      </c>
      <c r="O187" s="26">
        <v>6008</v>
      </c>
      <c r="P187" s="26">
        <v>120</v>
      </c>
      <c r="Q187" s="23">
        <v>2725</v>
      </c>
      <c r="R187" s="23">
        <v>830</v>
      </c>
      <c r="S187" s="23" t="s">
        <v>174</v>
      </c>
      <c r="T187" s="2"/>
      <c r="U187" s="2" t="s">
        <v>181</v>
      </c>
      <c r="V187" s="2" t="s">
        <v>181</v>
      </c>
      <c r="W187" s="5" t="s">
        <v>175</v>
      </c>
    </row>
    <row r="188" spans="2:23" x14ac:dyDescent="0.3">
      <c r="B188" s="7"/>
      <c r="C188" s="23" t="s">
        <v>29</v>
      </c>
      <c r="D188" s="23">
        <v>18</v>
      </c>
      <c r="E188" s="24">
        <v>8.25</v>
      </c>
      <c r="F188" s="25">
        <v>11.2</v>
      </c>
      <c r="G188" s="25">
        <v>38.200000000000003</v>
      </c>
      <c r="H188" s="26">
        <v>971</v>
      </c>
      <c r="I188" s="26">
        <v>21</v>
      </c>
      <c r="J188" s="25">
        <v>25.8</v>
      </c>
      <c r="K188" s="26">
        <v>6945</v>
      </c>
      <c r="L188" s="26">
        <v>131</v>
      </c>
      <c r="M188" s="26">
        <v>3150</v>
      </c>
      <c r="N188" s="26">
        <v>900</v>
      </c>
      <c r="O188" s="26">
        <v>6393</v>
      </c>
      <c r="P188" s="26">
        <v>131</v>
      </c>
      <c r="Q188" s="23">
        <v>2900</v>
      </c>
      <c r="R188" s="23">
        <v>900</v>
      </c>
      <c r="S188" s="23" t="s">
        <v>172</v>
      </c>
      <c r="T188" s="2"/>
      <c r="U188" s="2" t="s">
        <v>181</v>
      </c>
      <c r="V188" s="2" t="s">
        <v>181</v>
      </c>
      <c r="W188" s="5" t="s">
        <v>175</v>
      </c>
    </row>
    <row r="189" spans="2:23" x14ac:dyDescent="0.3">
      <c r="B189" s="7" t="s">
        <v>203</v>
      </c>
      <c r="C189" s="23" t="s">
        <v>29</v>
      </c>
      <c r="D189" s="23">
        <v>18</v>
      </c>
      <c r="E189" s="24">
        <v>8.25</v>
      </c>
      <c r="F189" s="25">
        <v>11.1</v>
      </c>
      <c r="G189" s="25">
        <v>38</v>
      </c>
      <c r="H189" s="26">
        <v>966</v>
      </c>
      <c r="I189" s="26">
        <v>18</v>
      </c>
      <c r="J189" s="25">
        <v>22.7</v>
      </c>
      <c r="K189" s="26">
        <v>7385</v>
      </c>
      <c r="L189" s="26">
        <v>131</v>
      </c>
      <c r="M189" s="26">
        <v>3350</v>
      </c>
      <c r="N189" s="26">
        <v>900</v>
      </c>
      <c r="O189" s="26">
        <v>6945</v>
      </c>
      <c r="P189" s="26">
        <v>131</v>
      </c>
      <c r="Q189" s="23">
        <v>3150</v>
      </c>
      <c r="R189" s="23">
        <v>900</v>
      </c>
      <c r="S189" s="23" t="s">
        <v>151</v>
      </c>
      <c r="T189" s="2"/>
      <c r="U189" s="2" t="s">
        <v>181</v>
      </c>
      <c r="V189" s="2" t="s">
        <v>181</v>
      </c>
      <c r="W189" s="5" t="s">
        <v>176</v>
      </c>
    </row>
    <row r="190" spans="2:23" x14ac:dyDescent="0.3">
      <c r="B190" s="7"/>
      <c r="C190" s="23" t="s">
        <v>177</v>
      </c>
      <c r="D190" s="23">
        <v>20</v>
      </c>
      <c r="E190" s="24">
        <v>9</v>
      </c>
      <c r="F190" s="25">
        <v>12.1</v>
      </c>
      <c r="G190" s="25">
        <v>39.299999999999997</v>
      </c>
      <c r="H190" s="26">
        <v>998</v>
      </c>
      <c r="I190" s="26">
        <v>19</v>
      </c>
      <c r="J190" s="25">
        <v>23.9</v>
      </c>
      <c r="K190" s="26">
        <v>7826</v>
      </c>
      <c r="L190" s="26">
        <v>131</v>
      </c>
      <c r="M190" s="26">
        <v>3550</v>
      </c>
      <c r="N190" s="26">
        <v>900</v>
      </c>
      <c r="O190" s="26">
        <v>7385</v>
      </c>
      <c r="P190" s="26">
        <v>131</v>
      </c>
      <c r="Q190" s="23">
        <v>3350</v>
      </c>
      <c r="R190" s="23">
        <v>900</v>
      </c>
      <c r="S190" s="23" t="s">
        <v>178</v>
      </c>
      <c r="T190" s="2"/>
      <c r="U190" s="2" t="s">
        <v>181</v>
      </c>
      <c r="V190" s="2" t="s">
        <v>181</v>
      </c>
      <c r="W190" s="5" t="s">
        <v>176</v>
      </c>
    </row>
    <row r="191" spans="2:23" x14ac:dyDescent="0.3">
      <c r="B191" s="7" t="s">
        <v>204</v>
      </c>
      <c r="C191" s="23" t="s">
        <v>66</v>
      </c>
      <c r="D191" s="23">
        <v>18</v>
      </c>
      <c r="E191" s="24">
        <v>7.5</v>
      </c>
      <c r="F191" s="25">
        <v>9.9</v>
      </c>
      <c r="G191" s="25">
        <v>33.700000000000003</v>
      </c>
      <c r="H191" s="26">
        <v>857</v>
      </c>
      <c r="I191" s="23">
        <v>17</v>
      </c>
      <c r="J191" s="25">
        <v>21.4</v>
      </c>
      <c r="K191" s="26">
        <v>6173</v>
      </c>
      <c r="L191" s="26">
        <v>131</v>
      </c>
      <c r="M191" s="26">
        <v>2800</v>
      </c>
      <c r="N191" s="26">
        <v>900</v>
      </c>
      <c r="O191" s="26">
        <v>5842</v>
      </c>
      <c r="P191" s="26">
        <v>131</v>
      </c>
      <c r="Q191" s="23">
        <v>2650</v>
      </c>
      <c r="R191" s="23">
        <v>900</v>
      </c>
      <c r="S191" s="23" t="s">
        <v>67</v>
      </c>
      <c r="T191" s="2"/>
      <c r="U191" s="2" t="s">
        <v>181</v>
      </c>
      <c r="V191" s="2" t="s">
        <v>181</v>
      </c>
      <c r="W191" s="5" t="s">
        <v>179</v>
      </c>
    </row>
    <row r="192" spans="2:23" x14ac:dyDescent="0.3">
      <c r="B192" s="7"/>
      <c r="C192" s="23" t="s">
        <v>62</v>
      </c>
      <c r="D192" s="23">
        <v>18</v>
      </c>
      <c r="E192" s="24">
        <v>9</v>
      </c>
      <c r="F192" s="25">
        <v>12.3</v>
      </c>
      <c r="G192" s="25">
        <v>40.4</v>
      </c>
      <c r="H192" s="26">
        <v>1027</v>
      </c>
      <c r="I192" s="26">
        <v>22</v>
      </c>
      <c r="J192" s="25">
        <v>27.7</v>
      </c>
      <c r="K192" s="26">
        <v>8267</v>
      </c>
      <c r="L192" s="26">
        <v>131</v>
      </c>
      <c r="M192" s="26">
        <v>3750</v>
      </c>
      <c r="N192" s="26">
        <v>900</v>
      </c>
      <c r="O192" s="26">
        <v>7385</v>
      </c>
      <c r="P192" s="26">
        <v>131</v>
      </c>
      <c r="Q192" s="23">
        <v>3350</v>
      </c>
      <c r="R192" s="23">
        <v>900</v>
      </c>
      <c r="S192" s="23" t="s">
        <v>142</v>
      </c>
      <c r="T192" s="2"/>
      <c r="U192" s="2" t="s">
        <v>181</v>
      </c>
      <c r="V192" s="2" t="s">
        <v>181</v>
      </c>
      <c r="W192" s="5" t="s">
        <v>179</v>
      </c>
    </row>
    <row r="193" spans="2:23" x14ac:dyDescent="0.3">
      <c r="B193" s="7" t="s">
        <v>205</v>
      </c>
      <c r="C193" s="23" t="s">
        <v>29</v>
      </c>
      <c r="D193" s="23">
        <v>18</v>
      </c>
      <c r="E193" s="24">
        <v>8.25</v>
      </c>
      <c r="F193" s="25">
        <v>11</v>
      </c>
      <c r="G193" s="25">
        <v>37.700000000000003</v>
      </c>
      <c r="H193" s="26">
        <v>959</v>
      </c>
      <c r="I193" s="26">
        <v>15</v>
      </c>
      <c r="J193" s="25">
        <v>18.899999999999999</v>
      </c>
      <c r="K193" s="26">
        <v>7385</v>
      </c>
      <c r="L193" s="26">
        <v>131</v>
      </c>
      <c r="M193" s="26">
        <v>3350</v>
      </c>
      <c r="N193" s="26">
        <v>900</v>
      </c>
      <c r="O193" s="26">
        <v>6945</v>
      </c>
      <c r="P193" s="26">
        <v>131</v>
      </c>
      <c r="Q193" s="23">
        <v>3150</v>
      </c>
      <c r="R193" s="23">
        <v>900</v>
      </c>
      <c r="S193" s="23" t="s">
        <v>151</v>
      </c>
      <c r="T193" s="2"/>
      <c r="U193" s="2" t="s">
        <v>181</v>
      </c>
      <c r="V193" s="2" t="s">
        <v>181</v>
      </c>
      <c r="W193" s="5" t="s">
        <v>180</v>
      </c>
    </row>
    <row r="194" spans="2:23" x14ac:dyDescent="0.3">
      <c r="B194" s="7"/>
      <c r="C194" s="23" t="s">
        <v>62</v>
      </c>
      <c r="D194" s="23">
        <v>18</v>
      </c>
      <c r="E194" s="24">
        <v>9</v>
      </c>
      <c r="F194" s="25">
        <v>11.9</v>
      </c>
      <c r="G194" s="25">
        <v>40</v>
      </c>
      <c r="H194" s="26">
        <v>1016</v>
      </c>
      <c r="I194" s="26">
        <v>17</v>
      </c>
      <c r="J194" s="25">
        <v>20.8</v>
      </c>
      <c r="K194" s="26">
        <v>8818</v>
      </c>
      <c r="L194" s="26">
        <v>131</v>
      </c>
      <c r="M194" s="26">
        <v>4000</v>
      </c>
      <c r="N194" s="26">
        <v>900</v>
      </c>
      <c r="O194" s="26">
        <v>7385</v>
      </c>
      <c r="P194" s="26">
        <v>131</v>
      </c>
      <c r="Q194" s="23">
        <v>3350</v>
      </c>
      <c r="R194" s="23">
        <v>900</v>
      </c>
      <c r="S194" s="23" t="s">
        <v>102</v>
      </c>
      <c r="T194" s="2"/>
      <c r="U194" s="2" t="s">
        <v>181</v>
      </c>
      <c r="V194" s="2" t="s">
        <v>181</v>
      </c>
      <c r="W194" s="5" t="s">
        <v>180</v>
      </c>
    </row>
    <row r="195" spans="2:23" x14ac:dyDescent="0.3">
      <c r="B195" s="7"/>
      <c r="C195" s="23" t="s">
        <v>16</v>
      </c>
      <c r="D195" s="23">
        <v>18</v>
      </c>
      <c r="E195" s="24">
        <v>9</v>
      </c>
      <c r="F195" s="25">
        <v>12.4</v>
      </c>
      <c r="G195" s="25">
        <v>42.6</v>
      </c>
      <c r="H195" s="26">
        <v>1081</v>
      </c>
      <c r="I195" s="26">
        <v>17</v>
      </c>
      <c r="J195" s="25">
        <v>20.8</v>
      </c>
      <c r="K195" s="26">
        <v>9370</v>
      </c>
      <c r="L195" s="26">
        <v>131</v>
      </c>
      <c r="M195" s="26">
        <v>4250</v>
      </c>
      <c r="N195" s="26">
        <v>900</v>
      </c>
      <c r="O195" s="26">
        <v>7385</v>
      </c>
      <c r="P195" s="26">
        <v>131</v>
      </c>
      <c r="Q195" s="23">
        <v>3350</v>
      </c>
      <c r="R195" s="23">
        <v>900</v>
      </c>
      <c r="S195" s="23" t="s">
        <v>146</v>
      </c>
      <c r="T195" s="2"/>
      <c r="U195" s="2" t="s">
        <v>181</v>
      </c>
      <c r="V195" s="2" t="s">
        <v>181</v>
      </c>
      <c r="W195" s="5" t="s">
        <v>180</v>
      </c>
    </row>
    <row r="196" spans="2:23" x14ac:dyDescent="0.3">
      <c r="B196" s="7"/>
      <c r="C196" s="23" t="s">
        <v>81</v>
      </c>
      <c r="D196" s="23">
        <v>20</v>
      </c>
      <c r="E196" s="24">
        <v>11.75</v>
      </c>
      <c r="F196" s="25">
        <v>15.2</v>
      </c>
      <c r="G196" s="25">
        <v>41.9</v>
      </c>
      <c r="H196" s="26">
        <v>1064</v>
      </c>
      <c r="I196" s="26">
        <v>17</v>
      </c>
      <c r="J196" s="25">
        <v>20.8</v>
      </c>
      <c r="K196" s="26">
        <v>11023</v>
      </c>
      <c r="L196" s="26">
        <v>131</v>
      </c>
      <c r="M196" s="26">
        <v>5000</v>
      </c>
      <c r="N196" s="26">
        <v>900</v>
      </c>
      <c r="O196" s="26"/>
      <c r="P196" s="26"/>
      <c r="Q196" s="23"/>
      <c r="R196" s="23"/>
      <c r="S196" s="23" t="s">
        <v>82</v>
      </c>
      <c r="T196" s="2"/>
      <c r="U196" s="2" t="s">
        <v>181</v>
      </c>
      <c r="V196" s="2" t="s">
        <v>181</v>
      </c>
      <c r="W196" s="5" t="s">
        <v>180</v>
      </c>
    </row>
  </sheetData>
  <mergeCells count="4">
    <mergeCell ref="G1:H1"/>
    <mergeCell ref="I1:J1"/>
    <mergeCell ref="K1:N1"/>
    <mergeCell ref="O1:R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7CD-901C-4DF4-830C-3A1CCB2F6F00}">
  <dimension ref="A2:U1821"/>
  <sheetViews>
    <sheetView showGridLines="0" showZeros="0" tabSelected="1" zoomScaleNormal="100" workbookViewId="0">
      <selection activeCell="K1646" sqref="K1646"/>
    </sheetView>
  </sheetViews>
  <sheetFormatPr defaultRowHeight="14.4" x14ac:dyDescent="0.3"/>
  <cols>
    <col min="1" max="1" width="20" style="42" customWidth="1"/>
    <col min="2" max="2" width="11.44140625" bestFit="1" customWidth="1"/>
    <col min="3" max="3" width="3.33203125" bestFit="1" customWidth="1"/>
    <col min="4" max="4" width="5.88671875" bestFit="1" customWidth="1"/>
    <col min="5" max="5" width="7" bestFit="1" customWidth="1"/>
    <col min="6" max="6" width="5" bestFit="1" customWidth="1"/>
    <col min="7" max="7" width="5.44140625" bestFit="1" customWidth="1"/>
    <col min="8" max="8" width="3.44140625" bestFit="1" customWidth="1"/>
    <col min="9" max="9" width="5" bestFit="1" customWidth="1"/>
    <col min="10" max="10" width="5.44140625" bestFit="1" customWidth="1"/>
    <col min="11" max="11" width="4.44140625" bestFit="1" customWidth="1"/>
    <col min="12" max="12" width="5.44140625" bestFit="1" customWidth="1"/>
    <col min="13" max="13" width="4.44140625" bestFit="1" customWidth="1"/>
    <col min="14" max="14" width="5.44140625" bestFit="1" customWidth="1"/>
    <col min="15" max="15" width="4.44140625" bestFit="1" customWidth="1"/>
    <col min="16" max="16" width="5" bestFit="1" customWidth="1"/>
    <col min="17" max="17" width="4" bestFit="1" customWidth="1"/>
    <col min="18" max="18" width="9.44140625" bestFit="1" customWidth="1"/>
    <col min="19" max="19" width="6.77734375" bestFit="1" customWidth="1"/>
    <col min="20" max="20" width="3.33203125" bestFit="1" customWidth="1"/>
    <col min="21" max="21" width="4.88671875" bestFit="1" customWidth="1"/>
  </cols>
  <sheetData>
    <row r="2" spans="1:21" x14ac:dyDescent="0.3">
      <c r="A2" s="44" t="s">
        <v>230</v>
      </c>
      <c r="B2" s="40" t="str">
        <f>'2. Master Tire Specs  '!B173</f>
        <v>Neo Fuel G3</v>
      </c>
      <c r="C2" s="41"/>
      <c r="D2" s="41"/>
      <c r="E2" s="41"/>
      <c r="F2" s="41"/>
      <c r="G2" s="41"/>
      <c r="H2" s="41"/>
      <c r="I2" s="41"/>
      <c r="J2" s="41"/>
      <c r="K2" s="41"/>
      <c r="L2" s="41"/>
      <c r="M2" s="41"/>
      <c r="N2" s="41"/>
      <c r="O2" s="41"/>
      <c r="P2" s="41"/>
      <c r="Q2" s="41"/>
      <c r="R2" s="41"/>
      <c r="S2" s="41"/>
      <c r="T2" s="41"/>
      <c r="U2" s="41"/>
    </row>
    <row r="4" spans="1:21" ht="28.8" x14ac:dyDescent="0.3">
      <c r="B4" s="19" t="s">
        <v>0</v>
      </c>
      <c r="C4" s="33" t="s">
        <v>229</v>
      </c>
      <c r="D4" s="34" t="s">
        <v>231</v>
      </c>
      <c r="E4" s="35" t="s">
        <v>232</v>
      </c>
      <c r="F4" s="38" t="s">
        <v>233</v>
      </c>
      <c r="G4" s="39"/>
      <c r="H4" s="38" t="s">
        <v>234</v>
      </c>
      <c r="I4" s="39"/>
      <c r="J4" s="38" t="s">
        <v>235</v>
      </c>
      <c r="K4" s="39"/>
      <c r="L4" s="39"/>
      <c r="M4" s="39"/>
      <c r="N4" s="38" t="s">
        <v>236</v>
      </c>
      <c r="O4" s="39"/>
      <c r="P4" s="39"/>
      <c r="Q4" s="39"/>
      <c r="R4" s="33" t="s">
        <v>1</v>
      </c>
      <c r="S4" s="15" t="s">
        <v>228</v>
      </c>
      <c r="T4" s="15" t="s">
        <v>2</v>
      </c>
      <c r="U4" s="15" t="s">
        <v>3</v>
      </c>
    </row>
    <row r="5" spans="1:21" x14ac:dyDescent="0.3">
      <c r="B5" s="23" t="str" cm="1">
        <f t="array" ref="B5:U7">'2. Master Tire Specs  '!C173:V175</f>
        <v>295/75R22.5</v>
      </c>
      <c r="C5" s="23">
        <v>16</v>
      </c>
      <c r="D5" s="24">
        <v>9</v>
      </c>
      <c r="E5" s="25">
        <v>296</v>
      </c>
      <c r="F5" s="25">
        <v>39.9</v>
      </c>
      <c r="G5" s="26">
        <v>1014</v>
      </c>
      <c r="H5" s="26">
        <v>15</v>
      </c>
      <c r="I5" s="25">
        <v>18.899999999999999</v>
      </c>
      <c r="J5" s="26">
        <v>6600</v>
      </c>
      <c r="K5" s="26">
        <v>120</v>
      </c>
      <c r="L5" s="26">
        <v>3000</v>
      </c>
      <c r="M5" s="23">
        <v>830</v>
      </c>
      <c r="N5" s="26">
        <v>5995</v>
      </c>
      <c r="O5" s="26">
        <v>120</v>
      </c>
      <c r="P5" s="23">
        <v>2725</v>
      </c>
      <c r="Q5" s="23">
        <v>830</v>
      </c>
      <c r="R5" s="23" t="str">
        <v>146/143M</v>
      </c>
      <c r="S5" s="2">
        <v>0</v>
      </c>
      <c r="T5" s="2" t="str">
        <v>•</v>
      </c>
      <c r="U5" s="2">
        <v>0</v>
      </c>
    </row>
    <row r="6" spans="1:21" x14ac:dyDescent="0.3">
      <c r="B6" s="23" t="str">
        <v>11R22.5</v>
      </c>
      <c r="C6" s="23">
        <v>16</v>
      </c>
      <c r="D6" s="24">
        <v>8.25</v>
      </c>
      <c r="E6" s="25">
        <v>11.1</v>
      </c>
      <c r="F6" s="25">
        <v>41.4</v>
      </c>
      <c r="G6" s="26">
        <v>1051</v>
      </c>
      <c r="H6" s="26">
        <v>15</v>
      </c>
      <c r="I6" s="25">
        <v>18.899999999999999</v>
      </c>
      <c r="J6" s="26">
        <v>6614</v>
      </c>
      <c r="K6" s="26">
        <v>120</v>
      </c>
      <c r="L6" s="26">
        <v>3000</v>
      </c>
      <c r="M6" s="26">
        <v>830</v>
      </c>
      <c r="N6" s="26">
        <v>6008</v>
      </c>
      <c r="O6" s="26">
        <v>120</v>
      </c>
      <c r="P6" s="23">
        <v>2725</v>
      </c>
      <c r="Q6" s="23">
        <v>830</v>
      </c>
      <c r="R6" s="23" t="str">
        <v>146/143M</v>
      </c>
      <c r="S6" s="2" t="str">
        <v>•</v>
      </c>
      <c r="T6" s="2" t="str">
        <v>•</v>
      </c>
      <c r="U6" s="2">
        <v>0</v>
      </c>
    </row>
    <row r="7" spans="1:21" x14ac:dyDescent="0.3">
      <c r="B7" s="23" t="str">
        <v>11R24.5</v>
      </c>
      <c r="C7" s="23">
        <v>16</v>
      </c>
      <c r="D7" s="24">
        <v>8.25</v>
      </c>
      <c r="E7" s="25">
        <v>11.4</v>
      </c>
      <c r="F7" s="25">
        <v>43</v>
      </c>
      <c r="G7" s="26">
        <v>1093</v>
      </c>
      <c r="H7" s="26">
        <v>15</v>
      </c>
      <c r="I7" s="25">
        <v>18.899999999999999</v>
      </c>
      <c r="J7" s="26">
        <v>7165</v>
      </c>
      <c r="K7" s="26">
        <v>120</v>
      </c>
      <c r="L7" s="26">
        <v>3250</v>
      </c>
      <c r="M7" s="26">
        <v>830</v>
      </c>
      <c r="N7" s="26">
        <v>6614</v>
      </c>
      <c r="O7" s="26">
        <v>120</v>
      </c>
      <c r="P7" s="23">
        <v>3000</v>
      </c>
      <c r="Q7" s="23">
        <v>830</v>
      </c>
      <c r="R7" s="23" t="str">
        <v>149/146M</v>
      </c>
      <c r="S7" s="2" t="str">
        <v>•</v>
      </c>
      <c r="T7" s="2" t="str">
        <v>•</v>
      </c>
      <c r="U7" s="2">
        <v>0</v>
      </c>
    </row>
    <row r="8" spans="1:21" x14ac:dyDescent="0.3">
      <c r="B8" s="23"/>
      <c r="C8" s="23"/>
      <c r="D8" s="24"/>
      <c r="E8" s="25"/>
      <c r="F8" s="25"/>
      <c r="G8" s="26"/>
      <c r="H8" s="26"/>
      <c r="I8" s="25"/>
      <c r="J8" s="26"/>
      <c r="K8" s="26"/>
      <c r="L8" s="26"/>
      <c r="M8" s="26"/>
      <c r="N8" s="26"/>
      <c r="O8" s="26"/>
      <c r="P8" s="23"/>
      <c r="Q8" s="23"/>
      <c r="R8" s="23"/>
      <c r="S8" s="2"/>
      <c r="T8" s="2"/>
      <c r="U8" s="2"/>
    </row>
    <row r="10" spans="1:21" x14ac:dyDescent="0.3">
      <c r="A10" s="42" t="s">
        <v>245</v>
      </c>
      <c r="B10" t="s">
        <v>238</v>
      </c>
    </row>
    <row r="11" spans="1:21" x14ac:dyDescent="0.3">
      <c r="A11" s="42" t="s">
        <v>239</v>
      </c>
      <c r="B11" t="s">
        <v>240</v>
      </c>
    </row>
    <row r="13" spans="1:21" x14ac:dyDescent="0.3">
      <c r="A13" s="42" t="s">
        <v>258</v>
      </c>
      <c r="B13" s="4" t="s">
        <v>256</v>
      </c>
    </row>
    <row r="14" spans="1:21" x14ac:dyDescent="0.3">
      <c r="A14" s="42" t="s">
        <v>252</v>
      </c>
      <c r="B14" s="4" t="s">
        <v>257</v>
      </c>
    </row>
    <row r="15" spans="1:21" x14ac:dyDescent="0.3">
      <c r="A15" s="42" t="s">
        <v>269</v>
      </c>
      <c r="B15" s="4" t="s">
        <v>270</v>
      </c>
    </row>
    <row r="17" spans="1:2" x14ac:dyDescent="0.3">
      <c r="A17" s="42" t="s">
        <v>268</v>
      </c>
      <c r="B17" t="s">
        <v>241</v>
      </c>
    </row>
    <row r="18" spans="1:2" x14ac:dyDescent="0.3">
      <c r="B18" t="s">
        <v>242</v>
      </c>
    </row>
    <row r="19" spans="1:2" x14ac:dyDescent="0.3">
      <c r="B19" t="s">
        <v>243</v>
      </c>
    </row>
    <row r="20" spans="1:2" x14ac:dyDescent="0.3">
      <c r="B20" t="s">
        <v>244</v>
      </c>
    </row>
    <row r="22" spans="1:2" x14ac:dyDescent="0.3">
      <c r="A22" s="42" t="s">
        <v>260</v>
      </c>
      <c r="B22" t="s">
        <v>246</v>
      </c>
    </row>
    <row r="23" spans="1:2" x14ac:dyDescent="0.3">
      <c r="A23" s="42" t="s">
        <v>261</v>
      </c>
      <c r="B23" t="s">
        <v>247</v>
      </c>
    </row>
    <row r="24" spans="1:2" x14ac:dyDescent="0.3">
      <c r="A24" s="42" t="s">
        <v>259</v>
      </c>
      <c r="B24" s="4" t="s">
        <v>253</v>
      </c>
    </row>
    <row r="26" spans="1:2" x14ac:dyDescent="0.3">
      <c r="A26" s="42" t="s">
        <v>262</v>
      </c>
      <c r="B26" t="s">
        <v>248</v>
      </c>
    </row>
    <row r="27" spans="1:2" x14ac:dyDescent="0.3">
      <c r="A27" s="42" t="s">
        <v>263</v>
      </c>
      <c r="B27" t="s">
        <v>249</v>
      </c>
    </row>
    <row r="28" spans="1:2" x14ac:dyDescent="0.3">
      <c r="A28" s="42" t="s">
        <v>264</v>
      </c>
      <c r="B28" s="4" t="s">
        <v>254</v>
      </c>
    </row>
    <row r="30" spans="1:2" x14ac:dyDescent="0.3">
      <c r="A30" s="42" t="s">
        <v>265</v>
      </c>
      <c r="B30" t="s">
        <v>250</v>
      </c>
    </row>
    <row r="31" spans="1:2" x14ac:dyDescent="0.3">
      <c r="A31" s="42" t="s">
        <v>266</v>
      </c>
      <c r="B31" t="s">
        <v>251</v>
      </c>
    </row>
    <row r="32" spans="1:2" x14ac:dyDescent="0.3">
      <c r="A32" s="42" t="s">
        <v>267</v>
      </c>
      <c r="B32" s="4" t="s">
        <v>255</v>
      </c>
    </row>
    <row r="36" spans="1:21" x14ac:dyDescent="0.3">
      <c r="A36" s="44" t="s">
        <v>230</v>
      </c>
      <c r="B36" s="40" t="s">
        <v>272</v>
      </c>
      <c r="C36" s="41"/>
      <c r="D36" s="41"/>
      <c r="E36" s="41"/>
      <c r="F36" s="41"/>
      <c r="G36" s="41"/>
      <c r="H36" s="41"/>
      <c r="I36" s="41"/>
      <c r="J36" s="41"/>
      <c r="K36" s="41"/>
      <c r="L36" s="41"/>
      <c r="M36" s="41"/>
      <c r="N36" s="41"/>
      <c r="O36" s="41"/>
      <c r="P36" s="41"/>
      <c r="Q36" s="41"/>
      <c r="R36" s="41"/>
      <c r="S36" s="41"/>
      <c r="T36" s="41"/>
      <c r="U36" s="41"/>
    </row>
    <row r="38" spans="1:21" ht="28.8" x14ac:dyDescent="0.3">
      <c r="B38" s="19" t="s">
        <v>0</v>
      </c>
      <c r="C38" s="33" t="s">
        <v>229</v>
      </c>
      <c r="D38" s="34" t="s">
        <v>231</v>
      </c>
      <c r="E38" s="35" t="s">
        <v>232</v>
      </c>
      <c r="F38" s="38" t="s">
        <v>233</v>
      </c>
      <c r="G38" s="39"/>
      <c r="H38" s="38" t="s">
        <v>234</v>
      </c>
      <c r="I38" s="39"/>
      <c r="J38" s="38" t="s">
        <v>235</v>
      </c>
      <c r="K38" s="39"/>
      <c r="L38" s="39"/>
      <c r="M38" s="39"/>
      <c r="N38" s="38" t="s">
        <v>236</v>
      </c>
      <c r="O38" s="39"/>
      <c r="P38" s="39"/>
      <c r="Q38" s="39"/>
      <c r="R38" s="33" t="s">
        <v>1</v>
      </c>
      <c r="S38" s="15" t="s">
        <v>228</v>
      </c>
      <c r="T38" s="15" t="s">
        <v>2</v>
      </c>
      <c r="U38" s="15" t="s">
        <v>3</v>
      </c>
    </row>
    <row r="39" spans="1:21" x14ac:dyDescent="0.3">
      <c r="B39" s="23" cm="1">
        <f t="array" ref="B39:U41">'2. Master Tire Specs  '!C210:V212</f>
        <v>0</v>
      </c>
      <c r="C39" s="23">
        <v>0</v>
      </c>
      <c r="D39" s="24">
        <v>0</v>
      </c>
      <c r="E39" s="25">
        <v>0</v>
      </c>
      <c r="F39" s="25">
        <v>0</v>
      </c>
      <c r="G39" s="26">
        <v>0</v>
      </c>
      <c r="H39" s="26">
        <v>0</v>
      </c>
      <c r="I39" s="25">
        <v>0</v>
      </c>
      <c r="J39" s="26">
        <v>0</v>
      </c>
      <c r="K39" s="26">
        <v>0</v>
      </c>
      <c r="L39" s="26">
        <v>0</v>
      </c>
      <c r="M39" s="23">
        <v>0</v>
      </c>
      <c r="N39" s="26">
        <v>0</v>
      </c>
      <c r="O39" s="26">
        <v>0</v>
      </c>
      <c r="P39" s="23">
        <v>0</v>
      </c>
      <c r="Q39" s="23">
        <v>0</v>
      </c>
      <c r="R39" s="23">
        <v>0</v>
      </c>
      <c r="S39" s="2">
        <v>0</v>
      </c>
      <c r="T39" s="2">
        <v>0</v>
      </c>
      <c r="U39" s="2">
        <v>0</v>
      </c>
    </row>
    <row r="40" spans="1:21" x14ac:dyDescent="0.3">
      <c r="B40" s="23">
        <v>0</v>
      </c>
      <c r="C40" s="23">
        <v>0</v>
      </c>
      <c r="D40" s="24">
        <v>0</v>
      </c>
      <c r="E40" s="25">
        <v>0</v>
      </c>
      <c r="F40" s="25">
        <v>0</v>
      </c>
      <c r="G40" s="26">
        <v>0</v>
      </c>
      <c r="H40" s="26">
        <v>0</v>
      </c>
      <c r="I40" s="25">
        <v>0</v>
      </c>
      <c r="J40" s="26">
        <v>0</v>
      </c>
      <c r="K40" s="26">
        <v>0</v>
      </c>
      <c r="L40" s="26">
        <v>0</v>
      </c>
      <c r="M40" s="26">
        <v>0</v>
      </c>
      <c r="N40" s="26">
        <v>0</v>
      </c>
      <c r="O40" s="26">
        <v>0</v>
      </c>
      <c r="P40" s="23">
        <v>0</v>
      </c>
      <c r="Q40" s="23">
        <v>0</v>
      </c>
      <c r="R40" s="23">
        <v>0</v>
      </c>
      <c r="S40" s="2">
        <v>0</v>
      </c>
      <c r="T40" s="2">
        <v>0</v>
      </c>
      <c r="U40" s="2">
        <v>0</v>
      </c>
    </row>
    <row r="41" spans="1:21" x14ac:dyDescent="0.3">
      <c r="B41" s="23">
        <v>0</v>
      </c>
      <c r="C41" s="23">
        <v>0</v>
      </c>
      <c r="D41" s="24">
        <v>0</v>
      </c>
      <c r="E41" s="25">
        <v>0</v>
      </c>
      <c r="F41" s="25">
        <v>0</v>
      </c>
      <c r="G41" s="26">
        <v>0</v>
      </c>
      <c r="H41" s="26">
        <v>0</v>
      </c>
      <c r="I41" s="25">
        <v>0</v>
      </c>
      <c r="J41" s="26">
        <v>0</v>
      </c>
      <c r="K41" s="26">
        <v>0</v>
      </c>
      <c r="L41" s="26">
        <v>0</v>
      </c>
      <c r="M41" s="26">
        <v>0</v>
      </c>
      <c r="N41" s="26">
        <v>0</v>
      </c>
      <c r="O41" s="26">
        <v>0</v>
      </c>
      <c r="P41" s="23">
        <v>0</v>
      </c>
      <c r="Q41" s="23">
        <v>0</v>
      </c>
      <c r="R41" s="23">
        <v>0</v>
      </c>
      <c r="S41" s="2">
        <v>0</v>
      </c>
      <c r="T41" s="2">
        <v>0</v>
      </c>
      <c r="U41" s="2">
        <v>0</v>
      </c>
    </row>
    <row r="42" spans="1:21" x14ac:dyDescent="0.3">
      <c r="B42" s="23"/>
      <c r="C42" s="23"/>
      <c r="D42" s="24"/>
      <c r="E42" s="25"/>
      <c r="F42" s="25"/>
      <c r="G42" s="26"/>
      <c r="H42" s="26"/>
      <c r="I42" s="25"/>
      <c r="J42" s="26"/>
      <c r="K42" s="26"/>
      <c r="L42" s="26"/>
      <c r="M42" s="26"/>
      <c r="N42" s="26"/>
      <c r="O42" s="26"/>
      <c r="P42" s="23"/>
      <c r="Q42" s="23"/>
      <c r="R42" s="23"/>
      <c r="S42" s="2"/>
      <c r="T42" s="2"/>
      <c r="U42" s="2"/>
    </row>
    <row r="44" spans="1:21" x14ac:dyDescent="0.3">
      <c r="A44" s="42" t="s">
        <v>245</v>
      </c>
    </row>
    <row r="45" spans="1:21" x14ac:dyDescent="0.3">
      <c r="A45" s="42" t="s">
        <v>239</v>
      </c>
    </row>
    <row r="47" spans="1:21" x14ac:dyDescent="0.3">
      <c r="A47" s="42" t="s">
        <v>258</v>
      </c>
      <c r="B47" s="4"/>
    </row>
    <row r="48" spans="1:21" x14ac:dyDescent="0.3">
      <c r="A48" s="42" t="s">
        <v>252</v>
      </c>
      <c r="B48" s="4"/>
    </row>
    <row r="49" spans="1:2" x14ac:dyDescent="0.3">
      <c r="A49" s="42" t="s">
        <v>269</v>
      </c>
      <c r="B49" s="4"/>
    </row>
    <row r="51" spans="1:2" x14ac:dyDescent="0.3">
      <c r="A51" s="42" t="s">
        <v>268</v>
      </c>
    </row>
    <row r="56" spans="1:2" x14ac:dyDescent="0.3">
      <c r="A56" s="42" t="s">
        <v>260</v>
      </c>
    </row>
    <row r="57" spans="1:2" x14ac:dyDescent="0.3">
      <c r="A57" s="42" t="s">
        <v>261</v>
      </c>
    </row>
    <row r="58" spans="1:2" x14ac:dyDescent="0.3">
      <c r="A58" s="42" t="s">
        <v>259</v>
      </c>
      <c r="B58" s="4"/>
    </row>
    <row r="60" spans="1:2" x14ac:dyDescent="0.3">
      <c r="A60" s="42" t="s">
        <v>262</v>
      </c>
    </row>
    <row r="61" spans="1:2" x14ac:dyDescent="0.3">
      <c r="A61" s="42" t="s">
        <v>263</v>
      </c>
    </row>
    <row r="62" spans="1:2" x14ac:dyDescent="0.3">
      <c r="A62" s="42" t="s">
        <v>264</v>
      </c>
      <c r="B62" s="4"/>
    </row>
    <row r="64" spans="1:2" x14ac:dyDescent="0.3">
      <c r="A64" s="42" t="s">
        <v>265</v>
      </c>
    </row>
    <row r="65" spans="1:21" x14ac:dyDescent="0.3">
      <c r="A65" s="42" t="s">
        <v>266</v>
      </c>
    </row>
    <row r="66" spans="1:21" x14ac:dyDescent="0.3">
      <c r="A66" s="42" t="s">
        <v>267</v>
      </c>
      <c r="B66" s="4"/>
    </row>
    <row r="69" spans="1:21" x14ac:dyDescent="0.3">
      <c r="A69" s="44" t="s">
        <v>230</v>
      </c>
      <c r="B69" s="40" t="s">
        <v>272</v>
      </c>
      <c r="C69" s="41"/>
      <c r="D69" s="41"/>
      <c r="E69" s="41"/>
      <c r="F69" s="41"/>
      <c r="G69" s="41"/>
      <c r="H69" s="41"/>
      <c r="I69" s="41"/>
      <c r="J69" s="41"/>
      <c r="K69" s="41"/>
      <c r="L69" s="41"/>
      <c r="M69" s="41"/>
      <c r="N69" s="41"/>
      <c r="O69" s="41"/>
      <c r="P69" s="41"/>
      <c r="Q69" s="41"/>
      <c r="R69" s="41"/>
      <c r="S69" s="41"/>
      <c r="T69" s="41"/>
      <c r="U69" s="41"/>
    </row>
    <row r="71" spans="1:21" ht="28.8" x14ac:dyDescent="0.3">
      <c r="B71" s="19" t="s">
        <v>0</v>
      </c>
      <c r="C71" s="33" t="s">
        <v>229</v>
      </c>
      <c r="D71" s="34" t="s">
        <v>231</v>
      </c>
      <c r="E71" s="35" t="s">
        <v>232</v>
      </c>
      <c r="F71" s="38" t="s">
        <v>233</v>
      </c>
      <c r="G71" s="39"/>
      <c r="H71" s="38" t="s">
        <v>234</v>
      </c>
      <c r="I71" s="39"/>
      <c r="J71" s="38" t="s">
        <v>235</v>
      </c>
      <c r="K71" s="39"/>
      <c r="L71" s="39"/>
      <c r="M71" s="39"/>
      <c r="N71" s="38" t="s">
        <v>236</v>
      </c>
      <c r="O71" s="39"/>
      <c r="P71" s="39"/>
      <c r="Q71" s="39"/>
      <c r="R71" s="33" t="s">
        <v>1</v>
      </c>
      <c r="S71" s="15" t="s">
        <v>228</v>
      </c>
      <c r="T71" s="15" t="s">
        <v>2</v>
      </c>
      <c r="U71" s="15" t="s">
        <v>3</v>
      </c>
    </row>
    <row r="72" spans="1:21" x14ac:dyDescent="0.3">
      <c r="B72" s="23" cm="1">
        <f t="array" ref="B72:U74">'2. Master Tire Specs  '!C243:V245</f>
        <v>0</v>
      </c>
      <c r="C72" s="23">
        <v>0</v>
      </c>
      <c r="D72" s="24">
        <v>0</v>
      </c>
      <c r="E72" s="25">
        <v>0</v>
      </c>
      <c r="F72" s="25">
        <v>0</v>
      </c>
      <c r="G72" s="26">
        <v>0</v>
      </c>
      <c r="H72" s="26">
        <v>0</v>
      </c>
      <c r="I72" s="25">
        <v>0</v>
      </c>
      <c r="J72" s="26">
        <v>0</v>
      </c>
      <c r="K72" s="26">
        <v>0</v>
      </c>
      <c r="L72" s="26">
        <v>0</v>
      </c>
      <c r="M72" s="23">
        <v>0</v>
      </c>
      <c r="N72" s="26">
        <v>0</v>
      </c>
      <c r="O72" s="26">
        <v>0</v>
      </c>
      <c r="P72" s="23">
        <v>0</v>
      </c>
      <c r="Q72" s="23">
        <v>0</v>
      </c>
      <c r="R72" s="23">
        <v>0</v>
      </c>
      <c r="S72" s="2">
        <v>0</v>
      </c>
      <c r="T72" s="2">
        <v>0</v>
      </c>
      <c r="U72" s="2">
        <v>0</v>
      </c>
    </row>
    <row r="73" spans="1:21" x14ac:dyDescent="0.3">
      <c r="B73" s="23">
        <v>0</v>
      </c>
      <c r="C73" s="23">
        <v>0</v>
      </c>
      <c r="D73" s="24">
        <v>0</v>
      </c>
      <c r="E73" s="25">
        <v>0</v>
      </c>
      <c r="F73" s="25">
        <v>0</v>
      </c>
      <c r="G73" s="26">
        <v>0</v>
      </c>
      <c r="H73" s="26">
        <v>0</v>
      </c>
      <c r="I73" s="25">
        <v>0</v>
      </c>
      <c r="J73" s="26">
        <v>0</v>
      </c>
      <c r="K73" s="26">
        <v>0</v>
      </c>
      <c r="L73" s="26">
        <v>0</v>
      </c>
      <c r="M73" s="26">
        <v>0</v>
      </c>
      <c r="N73" s="26">
        <v>0</v>
      </c>
      <c r="O73" s="26">
        <v>0</v>
      </c>
      <c r="P73" s="23">
        <v>0</v>
      </c>
      <c r="Q73" s="23">
        <v>0</v>
      </c>
      <c r="R73" s="23">
        <v>0</v>
      </c>
      <c r="S73" s="2">
        <v>0</v>
      </c>
      <c r="T73" s="2">
        <v>0</v>
      </c>
      <c r="U73" s="2">
        <v>0</v>
      </c>
    </row>
    <row r="74" spans="1:21" x14ac:dyDescent="0.3">
      <c r="B74" s="23">
        <v>0</v>
      </c>
      <c r="C74" s="23">
        <v>0</v>
      </c>
      <c r="D74" s="24">
        <v>0</v>
      </c>
      <c r="E74" s="25">
        <v>0</v>
      </c>
      <c r="F74" s="25">
        <v>0</v>
      </c>
      <c r="G74" s="26">
        <v>0</v>
      </c>
      <c r="H74" s="26">
        <v>0</v>
      </c>
      <c r="I74" s="25">
        <v>0</v>
      </c>
      <c r="J74" s="26">
        <v>0</v>
      </c>
      <c r="K74" s="26">
        <v>0</v>
      </c>
      <c r="L74" s="26">
        <v>0</v>
      </c>
      <c r="M74" s="26">
        <v>0</v>
      </c>
      <c r="N74" s="26">
        <v>0</v>
      </c>
      <c r="O74" s="26">
        <v>0</v>
      </c>
      <c r="P74" s="23">
        <v>0</v>
      </c>
      <c r="Q74" s="23">
        <v>0</v>
      </c>
      <c r="R74" s="23">
        <v>0</v>
      </c>
      <c r="S74" s="2">
        <v>0</v>
      </c>
      <c r="T74" s="2">
        <v>0</v>
      </c>
      <c r="U74" s="2">
        <v>0</v>
      </c>
    </row>
    <row r="75" spans="1:21" x14ac:dyDescent="0.3">
      <c r="B75" s="23"/>
      <c r="C75" s="23"/>
      <c r="D75" s="24"/>
      <c r="E75" s="25"/>
      <c r="F75" s="25"/>
      <c r="G75" s="26"/>
      <c r="H75" s="26"/>
      <c r="I75" s="25"/>
      <c r="J75" s="26"/>
      <c r="K75" s="26"/>
      <c r="L75" s="26"/>
      <c r="M75" s="26"/>
      <c r="N75" s="26"/>
      <c r="O75" s="26"/>
      <c r="P75" s="23"/>
      <c r="Q75" s="23"/>
      <c r="R75" s="23"/>
      <c r="S75" s="2"/>
      <c r="T75" s="2"/>
      <c r="U75" s="2"/>
    </row>
    <row r="77" spans="1:21" x14ac:dyDescent="0.3">
      <c r="A77" s="42" t="s">
        <v>245</v>
      </c>
    </row>
    <row r="78" spans="1:21" x14ac:dyDescent="0.3">
      <c r="A78" s="42" t="s">
        <v>239</v>
      </c>
    </row>
    <row r="80" spans="1:21" x14ac:dyDescent="0.3">
      <c r="A80" s="42" t="s">
        <v>258</v>
      </c>
      <c r="B80" s="4"/>
    </row>
    <row r="81" spans="1:2" x14ac:dyDescent="0.3">
      <c r="A81" s="42" t="s">
        <v>252</v>
      </c>
      <c r="B81" s="4"/>
    </row>
    <row r="82" spans="1:2" x14ac:dyDescent="0.3">
      <c r="A82" s="42" t="s">
        <v>269</v>
      </c>
      <c r="B82" s="4"/>
    </row>
    <row r="84" spans="1:2" x14ac:dyDescent="0.3">
      <c r="A84" s="42" t="s">
        <v>268</v>
      </c>
    </row>
    <row r="89" spans="1:2" x14ac:dyDescent="0.3">
      <c r="A89" s="42" t="s">
        <v>260</v>
      </c>
    </row>
    <row r="90" spans="1:2" x14ac:dyDescent="0.3">
      <c r="A90" s="42" t="s">
        <v>261</v>
      </c>
    </row>
    <row r="91" spans="1:2" x14ac:dyDescent="0.3">
      <c r="A91" s="42" t="s">
        <v>259</v>
      </c>
      <c r="B91" s="4"/>
    </row>
    <row r="93" spans="1:2" x14ac:dyDescent="0.3">
      <c r="A93" s="42" t="s">
        <v>262</v>
      </c>
    </row>
    <row r="94" spans="1:2" x14ac:dyDescent="0.3">
      <c r="A94" s="42" t="s">
        <v>263</v>
      </c>
    </row>
    <row r="95" spans="1:2" x14ac:dyDescent="0.3">
      <c r="A95" s="42" t="s">
        <v>264</v>
      </c>
      <c r="B95" s="4"/>
    </row>
    <row r="97" spans="1:21" x14ac:dyDescent="0.3">
      <c r="A97" s="42" t="s">
        <v>265</v>
      </c>
    </row>
    <row r="98" spans="1:21" x14ac:dyDescent="0.3">
      <c r="A98" s="42" t="s">
        <v>266</v>
      </c>
    </row>
    <row r="99" spans="1:21" x14ac:dyDescent="0.3">
      <c r="A99" s="42" t="s">
        <v>267</v>
      </c>
      <c r="B99" s="4"/>
    </row>
    <row r="101" spans="1:21" x14ac:dyDescent="0.3">
      <c r="A101" s="44" t="s">
        <v>230</v>
      </c>
      <c r="B101" s="40" t="s">
        <v>272</v>
      </c>
      <c r="C101" s="41"/>
      <c r="D101" s="41"/>
      <c r="E101" s="41"/>
      <c r="F101" s="41"/>
      <c r="G101" s="41"/>
      <c r="H101" s="41"/>
      <c r="I101" s="41"/>
      <c r="J101" s="41"/>
      <c r="K101" s="41"/>
      <c r="L101" s="41"/>
      <c r="M101" s="41"/>
      <c r="N101" s="41"/>
      <c r="O101" s="41"/>
      <c r="P101" s="41"/>
      <c r="Q101" s="41"/>
      <c r="R101" s="41"/>
      <c r="S101" s="41"/>
      <c r="T101" s="41"/>
      <c r="U101" s="41"/>
    </row>
    <row r="103" spans="1:21" ht="28.8" x14ac:dyDescent="0.3">
      <c r="B103" s="19" t="s">
        <v>0</v>
      </c>
      <c r="C103" s="33" t="s">
        <v>229</v>
      </c>
      <c r="D103" s="34" t="s">
        <v>231</v>
      </c>
      <c r="E103" s="35" t="s">
        <v>232</v>
      </c>
      <c r="F103" s="38" t="s">
        <v>233</v>
      </c>
      <c r="G103" s="39"/>
      <c r="H103" s="38" t="s">
        <v>234</v>
      </c>
      <c r="I103" s="39"/>
      <c r="J103" s="38" t="s">
        <v>235</v>
      </c>
      <c r="K103" s="39"/>
      <c r="L103" s="39"/>
      <c r="M103" s="39"/>
      <c r="N103" s="38" t="s">
        <v>236</v>
      </c>
      <c r="O103" s="39"/>
      <c r="P103" s="39"/>
      <c r="Q103" s="39"/>
      <c r="R103" s="33" t="s">
        <v>1</v>
      </c>
      <c r="S103" s="15" t="s">
        <v>228</v>
      </c>
      <c r="T103" s="15" t="s">
        <v>2</v>
      </c>
      <c r="U103" s="15" t="s">
        <v>3</v>
      </c>
    </row>
    <row r="104" spans="1:21" x14ac:dyDescent="0.3">
      <c r="B104" s="23" cm="1">
        <f t="array" ref="B104:U106">'2. Master Tire Specs  '!C275:V277</f>
        <v>0</v>
      </c>
      <c r="C104" s="23">
        <v>0</v>
      </c>
      <c r="D104" s="24">
        <v>0</v>
      </c>
      <c r="E104" s="25">
        <v>0</v>
      </c>
      <c r="F104" s="25">
        <v>0</v>
      </c>
      <c r="G104" s="26">
        <v>0</v>
      </c>
      <c r="H104" s="26">
        <v>0</v>
      </c>
      <c r="I104" s="25">
        <v>0</v>
      </c>
      <c r="J104" s="26">
        <v>0</v>
      </c>
      <c r="K104" s="26">
        <v>0</v>
      </c>
      <c r="L104" s="26">
        <v>0</v>
      </c>
      <c r="M104" s="23">
        <v>0</v>
      </c>
      <c r="N104" s="26">
        <v>0</v>
      </c>
      <c r="O104" s="26">
        <v>0</v>
      </c>
      <c r="P104" s="23">
        <v>0</v>
      </c>
      <c r="Q104" s="23">
        <v>0</v>
      </c>
      <c r="R104" s="23">
        <v>0</v>
      </c>
      <c r="S104" s="2">
        <v>0</v>
      </c>
      <c r="T104" s="2">
        <v>0</v>
      </c>
      <c r="U104" s="2">
        <v>0</v>
      </c>
    </row>
    <row r="105" spans="1:21" x14ac:dyDescent="0.3">
      <c r="B105" s="23">
        <v>0</v>
      </c>
      <c r="C105" s="23">
        <v>0</v>
      </c>
      <c r="D105" s="24">
        <v>0</v>
      </c>
      <c r="E105" s="25">
        <v>0</v>
      </c>
      <c r="F105" s="25">
        <v>0</v>
      </c>
      <c r="G105" s="26">
        <v>0</v>
      </c>
      <c r="H105" s="26">
        <v>0</v>
      </c>
      <c r="I105" s="25">
        <v>0</v>
      </c>
      <c r="J105" s="26">
        <v>0</v>
      </c>
      <c r="K105" s="26">
        <v>0</v>
      </c>
      <c r="L105" s="26">
        <v>0</v>
      </c>
      <c r="M105" s="26">
        <v>0</v>
      </c>
      <c r="N105" s="26">
        <v>0</v>
      </c>
      <c r="O105" s="26">
        <v>0</v>
      </c>
      <c r="P105" s="23">
        <v>0</v>
      </c>
      <c r="Q105" s="23">
        <v>0</v>
      </c>
      <c r="R105" s="23">
        <v>0</v>
      </c>
      <c r="S105" s="2">
        <v>0</v>
      </c>
      <c r="T105" s="2">
        <v>0</v>
      </c>
      <c r="U105" s="2">
        <v>0</v>
      </c>
    </row>
    <row r="106" spans="1:21" x14ac:dyDescent="0.3">
      <c r="B106" s="23">
        <v>0</v>
      </c>
      <c r="C106" s="23">
        <v>0</v>
      </c>
      <c r="D106" s="24">
        <v>0</v>
      </c>
      <c r="E106" s="25">
        <v>0</v>
      </c>
      <c r="F106" s="25">
        <v>0</v>
      </c>
      <c r="G106" s="26">
        <v>0</v>
      </c>
      <c r="H106" s="26">
        <v>0</v>
      </c>
      <c r="I106" s="25">
        <v>0</v>
      </c>
      <c r="J106" s="26">
        <v>0</v>
      </c>
      <c r="K106" s="26">
        <v>0</v>
      </c>
      <c r="L106" s="26">
        <v>0</v>
      </c>
      <c r="M106" s="26">
        <v>0</v>
      </c>
      <c r="N106" s="26">
        <v>0</v>
      </c>
      <c r="O106" s="26">
        <v>0</v>
      </c>
      <c r="P106" s="23">
        <v>0</v>
      </c>
      <c r="Q106" s="23">
        <v>0</v>
      </c>
      <c r="R106" s="23">
        <v>0</v>
      </c>
      <c r="S106" s="2">
        <v>0</v>
      </c>
      <c r="T106" s="2">
        <v>0</v>
      </c>
      <c r="U106" s="2">
        <v>0</v>
      </c>
    </row>
    <row r="107" spans="1:21" x14ac:dyDescent="0.3">
      <c r="B107" s="23"/>
      <c r="C107" s="23"/>
      <c r="D107" s="24"/>
      <c r="E107" s="25"/>
      <c r="F107" s="25"/>
      <c r="G107" s="26"/>
      <c r="H107" s="26"/>
      <c r="I107" s="25"/>
      <c r="J107" s="26"/>
      <c r="K107" s="26"/>
      <c r="L107" s="26"/>
      <c r="M107" s="26"/>
      <c r="N107" s="26"/>
      <c r="O107" s="26"/>
      <c r="P107" s="23"/>
      <c r="Q107" s="23"/>
      <c r="R107" s="23"/>
      <c r="S107" s="2"/>
      <c r="T107" s="2"/>
      <c r="U107" s="2"/>
    </row>
    <row r="109" spans="1:21" x14ac:dyDescent="0.3">
      <c r="A109" s="42" t="s">
        <v>245</v>
      </c>
    </row>
    <row r="110" spans="1:21" x14ac:dyDescent="0.3">
      <c r="A110" s="42" t="s">
        <v>239</v>
      </c>
    </row>
    <row r="112" spans="1:21" x14ac:dyDescent="0.3">
      <c r="A112" s="42" t="s">
        <v>258</v>
      </c>
      <c r="B112" s="4"/>
    </row>
    <row r="113" spans="1:2" x14ac:dyDescent="0.3">
      <c r="A113" s="42" t="s">
        <v>252</v>
      </c>
      <c r="B113" s="4"/>
    </row>
    <row r="114" spans="1:2" x14ac:dyDescent="0.3">
      <c r="A114" s="42" t="s">
        <v>269</v>
      </c>
      <c r="B114" s="4"/>
    </row>
    <row r="116" spans="1:2" x14ac:dyDescent="0.3">
      <c r="A116" s="42" t="s">
        <v>268</v>
      </c>
    </row>
    <row r="121" spans="1:2" x14ac:dyDescent="0.3">
      <c r="A121" s="42" t="s">
        <v>260</v>
      </c>
    </row>
    <row r="122" spans="1:2" x14ac:dyDescent="0.3">
      <c r="A122" s="42" t="s">
        <v>261</v>
      </c>
    </row>
    <row r="123" spans="1:2" x14ac:dyDescent="0.3">
      <c r="A123" s="42" t="s">
        <v>259</v>
      </c>
      <c r="B123" s="4"/>
    </row>
    <row r="125" spans="1:2" x14ac:dyDescent="0.3">
      <c r="A125" s="42" t="s">
        <v>262</v>
      </c>
    </row>
    <row r="126" spans="1:2" x14ac:dyDescent="0.3">
      <c r="A126" s="42" t="s">
        <v>263</v>
      </c>
    </row>
    <row r="127" spans="1:2" x14ac:dyDescent="0.3">
      <c r="A127" s="42" t="s">
        <v>264</v>
      </c>
      <c r="B127" s="4"/>
    </row>
    <row r="129" spans="1:21" x14ac:dyDescent="0.3">
      <c r="A129" s="42" t="s">
        <v>265</v>
      </c>
    </row>
    <row r="130" spans="1:21" x14ac:dyDescent="0.3">
      <c r="A130" s="42" t="s">
        <v>266</v>
      </c>
    </row>
    <row r="131" spans="1:21" x14ac:dyDescent="0.3">
      <c r="A131" s="42" t="s">
        <v>267</v>
      </c>
      <c r="B131" s="4"/>
    </row>
    <row r="134" spans="1:21" x14ac:dyDescent="0.3">
      <c r="A134" s="44" t="s">
        <v>230</v>
      </c>
      <c r="B134" s="40" t="s">
        <v>272</v>
      </c>
      <c r="C134" s="41"/>
      <c r="D134" s="41"/>
      <c r="E134" s="41"/>
      <c r="F134" s="41"/>
      <c r="G134" s="41"/>
      <c r="H134" s="41"/>
      <c r="I134" s="41"/>
      <c r="J134" s="41"/>
      <c r="K134" s="41"/>
      <c r="L134" s="41"/>
      <c r="M134" s="41"/>
      <c r="N134" s="41"/>
      <c r="O134" s="41"/>
      <c r="P134" s="41"/>
      <c r="Q134" s="41"/>
      <c r="R134" s="41"/>
      <c r="S134" s="41"/>
      <c r="T134" s="41"/>
      <c r="U134" s="41"/>
    </row>
    <row r="136" spans="1:21" ht="28.8" x14ac:dyDescent="0.3">
      <c r="B136" s="19" t="s">
        <v>0</v>
      </c>
      <c r="C136" s="33" t="s">
        <v>229</v>
      </c>
      <c r="D136" s="34" t="s">
        <v>231</v>
      </c>
      <c r="E136" s="35" t="s">
        <v>232</v>
      </c>
      <c r="F136" s="38" t="s">
        <v>233</v>
      </c>
      <c r="G136" s="39"/>
      <c r="H136" s="38" t="s">
        <v>234</v>
      </c>
      <c r="I136" s="39"/>
      <c r="J136" s="38" t="s">
        <v>235</v>
      </c>
      <c r="K136" s="39"/>
      <c r="L136" s="39"/>
      <c r="M136" s="39"/>
      <c r="N136" s="38" t="s">
        <v>236</v>
      </c>
      <c r="O136" s="39"/>
      <c r="P136" s="39"/>
      <c r="Q136" s="39"/>
      <c r="R136" s="33" t="s">
        <v>1</v>
      </c>
      <c r="S136" s="15" t="s">
        <v>228</v>
      </c>
      <c r="T136" s="15" t="s">
        <v>2</v>
      </c>
      <c r="U136" s="15" t="s">
        <v>3</v>
      </c>
    </row>
    <row r="137" spans="1:21" x14ac:dyDescent="0.3">
      <c r="B137" s="23" cm="1">
        <f t="array" ref="B137:U139">'2. Master Tire Specs  '!C308:V310</f>
        <v>0</v>
      </c>
      <c r="C137" s="23">
        <v>0</v>
      </c>
      <c r="D137" s="24">
        <v>0</v>
      </c>
      <c r="E137" s="25">
        <v>0</v>
      </c>
      <c r="F137" s="25">
        <v>0</v>
      </c>
      <c r="G137" s="26">
        <v>0</v>
      </c>
      <c r="H137" s="26">
        <v>0</v>
      </c>
      <c r="I137" s="25">
        <v>0</v>
      </c>
      <c r="J137" s="26">
        <v>0</v>
      </c>
      <c r="K137" s="26">
        <v>0</v>
      </c>
      <c r="L137" s="26">
        <v>0</v>
      </c>
      <c r="M137" s="23">
        <v>0</v>
      </c>
      <c r="N137" s="26">
        <v>0</v>
      </c>
      <c r="O137" s="26">
        <v>0</v>
      </c>
      <c r="P137" s="23">
        <v>0</v>
      </c>
      <c r="Q137" s="23">
        <v>0</v>
      </c>
      <c r="R137" s="23">
        <v>0</v>
      </c>
      <c r="S137" s="2">
        <v>0</v>
      </c>
      <c r="T137" s="2">
        <v>0</v>
      </c>
      <c r="U137" s="2">
        <v>0</v>
      </c>
    </row>
    <row r="138" spans="1:21" x14ac:dyDescent="0.3">
      <c r="B138" s="23">
        <v>0</v>
      </c>
      <c r="C138" s="23">
        <v>0</v>
      </c>
      <c r="D138" s="24">
        <v>0</v>
      </c>
      <c r="E138" s="25">
        <v>0</v>
      </c>
      <c r="F138" s="25">
        <v>0</v>
      </c>
      <c r="G138" s="26">
        <v>0</v>
      </c>
      <c r="H138" s="26">
        <v>0</v>
      </c>
      <c r="I138" s="25">
        <v>0</v>
      </c>
      <c r="J138" s="26">
        <v>0</v>
      </c>
      <c r="K138" s="26">
        <v>0</v>
      </c>
      <c r="L138" s="26">
        <v>0</v>
      </c>
      <c r="M138" s="26">
        <v>0</v>
      </c>
      <c r="N138" s="26">
        <v>0</v>
      </c>
      <c r="O138" s="26">
        <v>0</v>
      </c>
      <c r="P138" s="23">
        <v>0</v>
      </c>
      <c r="Q138" s="23">
        <v>0</v>
      </c>
      <c r="R138" s="23">
        <v>0</v>
      </c>
      <c r="S138" s="2">
        <v>0</v>
      </c>
      <c r="T138" s="2">
        <v>0</v>
      </c>
      <c r="U138" s="2">
        <v>0</v>
      </c>
    </row>
    <row r="139" spans="1:21" x14ac:dyDescent="0.3">
      <c r="B139" s="23">
        <v>0</v>
      </c>
      <c r="C139" s="23">
        <v>0</v>
      </c>
      <c r="D139" s="24">
        <v>0</v>
      </c>
      <c r="E139" s="25">
        <v>0</v>
      </c>
      <c r="F139" s="25">
        <v>0</v>
      </c>
      <c r="G139" s="26">
        <v>0</v>
      </c>
      <c r="H139" s="26">
        <v>0</v>
      </c>
      <c r="I139" s="25">
        <v>0</v>
      </c>
      <c r="J139" s="26">
        <v>0</v>
      </c>
      <c r="K139" s="26">
        <v>0</v>
      </c>
      <c r="L139" s="26">
        <v>0</v>
      </c>
      <c r="M139" s="26">
        <v>0</v>
      </c>
      <c r="N139" s="26">
        <v>0</v>
      </c>
      <c r="O139" s="26">
        <v>0</v>
      </c>
      <c r="P139" s="23">
        <v>0</v>
      </c>
      <c r="Q139" s="23">
        <v>0</v>
      </c>
      <c r="R139" s="23">
        <v>0</v>
      </c>
      <c r="S139" s="2">
        <v>0</v>
      </c>
      <c r="T139" s="2">
        <v>0</v>
      </c>
      <c r="U139" s="2">
        <v>0</v>
      </c>
    </row>
    <row r="140" spans="1:21" x14ac:dyDescent="0.3">
      <c r="B140" s="23"/>
      <c r="C140" s="23"/>
      <c r="D140" s="24"/>
      <c r="E140" s="25"/>
      <c r="F140" s="25"/>
      <c r="G140" s="26"/>
      <c r="H140" s="26"/>
      <c r="I140" s="25"/>
      <c r="J140" s="26"/>
      <c r="K140" s="26"/>
      <c r="L140" s="26"/>
      <c r="M140" s="26"/>
      <c r="N140" s="26"/>
      <c r="O140" s="26"/>
      <c r="P140" s="23"/>
      <c r="Q140" s="23"/>
      <c r="R140" s="23"/>
      <c r="S140" s="2"/>
      <c r="T140" s="2"/>
      <c r="U140" s="2"/>
    </row>
    <row r="142" spans="1:21" x14ac:dyDescent="0.3">
      <c r="A142" s="42" t="s">
        <v>245</v>
      </c>
    </row>
    <row r="143" spans="1:21" x14ac:dyDescent="0.3">
      <c r="A143" s="42" t="s">
        <v>239</v>
      </c>
    </row>
    <row r="145" spans="1:2" x14ac:dyDescent="0.3">
      <c r="A145" s="42" t="s">
        <v>258</v>
      </c>
      <c r="B145" s="4"/>
    </row>
    <row r="146" spans="1:2" x14ac:dyDescent="0.3">
      <c r="A146" s="42" t="s">
        <v>252</v>
      </c>
      <c r="B146" s="4"/>
    </row>
    <row r="147" spans="1:2" x14ac:dyDescent="0.3">
      <c r="A147" s="42" t="s">
        <v>269</v>
      </c>
      <c r="B147" s="4"/>
    </row>
    <row r="149" spans="1:2" x14ac:dyDescent="0.3">
      <c r="A149" s="42" t="s">
        <v>268</v>
      </c>
    </row>
    <row r="154" spans="1:2" x14ac:dyDescent="0.3">
      <c r="A154" s="42" t="s">
        <v>260</v>
      </c>
    </row>
    <row r="155" spans="1:2" x14ac:dyDescent="0.3">
      <c r="A155" s="42" t="s">
        <v>261</v>
      </c>
    </row>
    <row r="156" spans="1:2" x14ac:dyDescent="0.3">
      <c r="A156" s="42" t="s">
        <v>259</v>
      </c>
      <c r="B156" s="4"/>
    </row>
    <row r="158" spans="1:2" x14ac:dyDescent="0.3">
      <c r="A158" s="42" t="s">
        <v>262</v>
      </c>
    </row>
    <row r="159" spans="1:2" x14ac:dyDescent="0.3">
      <c r="A159" s="42" t="s">
        <v>263</v>
      </c>
    </row>
    <row r="160" spans="1:2" x14ac:dyDescent="0.3">
      <c r="A160" s="42" t="s">
        <v>264</v>
      </c>
      <c r="B160" s="4"/>
    </row>
    <row r="162" spans="1:21" x14ac:dyDescent="0.3">
      <c r="A162" s="42" t="s">
        <v>265</v>
      </c>
    </row>
    <row r="163" spans="1:21" x14ac:dyDescent="0.3">
      <c r="A163" s="42" t="s">
        <v>266</v>
      </c>
    </row>
    <row r="164" spans="1:21" x14ac:dyDescent="0.3">
      <c r="A164" s="42" t="s">
        <v>267</v>
      </c>
      <c r="B164" s="4"/>
    </row>
    <row r="166" spans="1:21" x14ac:dyDescent="0.3">
      <c r="A166" s="44" t="s">
        <v>230</v>
      </c>
      <c r="B166" s="40" t="s">
        <v>272</v>
      </c>
      <c r="C166" s="41"/>
      <c r="D166" s="41"/>
      <c r="E166" s="41"/>
      <c r="F166" s="41"/>
      <c r="G166" s="41"/>
      <c r="H166" s="41"/>
      <c r="I166" s="41"/>
      <c r="J166" s="41"/>
      <c r="K166" s="41"/>
      <c r="L166" s="41"/>
      <c r="M166" s="41"/>
      <c r="N166" s="41"/>
      <c r="O166" s="41"/>
      <c r="P166" s="41"/>
      <c r="Q166" s="41"/>
      <c r="R166" s="41"/>
      <c r="S166" s="41"/>
      <c r="T166" s="41"/>
      <c r="U166" s="41"/>
    </row>
    <row r="168" spans="1:21" ht="28.8" x14ac:dyDescent="0.3">
      <c r="B168" s="19" t="s">
        <v>0</v>
      </c>
      <c r="C168" s="33" t="s">
        <v>229</v>
      </c>
      <c r="D168" s="34" t="s">
        <v>231</v>
      </c>
      <c r="E168" s="35" t="s">
        <v>232</v>
      </c>
      <c r="F168" s="38" t="s">
        <v>233</v>
      </c>
      <c r="G168" s="39"/>
      <c r="H168" s="38" t="s">
        <v>234</v>
      </c>
      <c r="I168" s="39"/>
      <c r="J168" s="38" t="s">
        <v>235</v>
      </c>
      <c r="K168" s="39"/>
      <c r="L168" s="39"/>
      <c r="M168" s="39"/>
      <c r="N168" s="38" t="s">
        <v>236</v>
      </c>
      <c r="O168" s="39"/>
      <c r="P168" s="39"/>
      <c r="Q168" s="39"/>
      <c r="R168" s="33" t="s">
        <v>1</v>
      </c>
      <c r="S168" s="15" t="s">
        <v>228</v>
      </c>
      <c r="T168" s="15" t="s">
        <v>2</v>
      </c>
      <c r="U168" s="15" t="s">
        <v>3</v>
      </c>
    </row>
    <row r="169" spans="1:21" x14ac:dyDescent="0.3">
      <c r="B169" s="23" cm="1">
        <f t="array" ref="B169:U171">'2. Master Tire Specs  '!C340:V342</f>
        <v>0</v>
      </c>
      <c r="C169" s="23">
        <v>0</v>
      </c>
      <c r="D169" s="24">
        <v>0</v>
      </c>
      <c r="E169" s="25">
        <v>0</v>
      </c>
      <c r="F169" s="25">
        <v>0</v>
      </c>
      <c r="G169" s="26">
        <v>0</v>
      </c>
      <c r="H169" s="26">
        <v>0</v>
      </c>
      <c r="I169" s="25">
        <v>0</v>
      </c>
      <c r="J169" s="26">
        <v>0</v>
      </c>
      <c r="K169" s="26">
        <v>0</v>
      </c>
      <c r="L169" s="26">
        <v>0</v>
      </c>
      <c r="M169" s="23">
        <v>0</v>
      </c>
      <c r="N169" s="26">
        <v>0</v>
      </c>
      <c r="O169" s="26">
        <v>0</v>
      </c>
      <c r="P169" s="23">
        <v>0</v>
      </c>
      <c r="Q169" s="23">
        <v>0</v>
      </c>
      <c r="R169" s="23">
        <v>0</v>
      </c>
      <c r="S169" s="2">
        <v>0</v>
      </c>
      <c r="T169" s="2">
        <v>0</v>
      </c>
      <c r="U169" s="2">
        <v>0</v>
      </c>
    </row>
    <row r="170" spans="1:21" x14ac:dyDescent="0.3">
      <c r="B170" s="23">
        <v>0</v>
      </c>
      <c r="C170" s="23">
        <v>0</v>
      </c>
      <c r="D170" s="24">
        <v>0</v>
      </c>
      <c r="E170" s="25">
        <v>0</v>
      </c>
      <c r="F170" s="25">
        <v>0</v>
      </c>
      <c r="G170" s="26">
        <v>0</v>
      </c>
      <c r="H170" s="26">
        <v>0</v>
      </c>
      <c r="I170" s="25">
        <v>0</v>
      </c>
      <c r="J170" s="26">
        <v>0</v>
      </c>
      <c r="K170" s="26">
        <v>0</v>
      </c>
      <c r="L170" s="26">
        <v>0</v>
      </c>
      <c r="M170" s="26">
        <v>0</v>
      </c>
      <c r="N170" s="26">
        <v>0</v>
      </c>
      <c r="O170" s="26">
        <v>0</v>
      </c>
      <c r="P170" s="23">
        <v>0</v>
      </c>
      <c r="Q170" s="23">
        <v>0</v>
      </c>
      <c r="R170" s="23">
        <v>0</v>
      </c>
      <c r="S170" s="2">
        <v>0</v>
      </c>
      <c r="T170" s="2">
        <v>0</v>
      </c>
      <c r="U170" s="2">
        <v>0</v>
      </c>
    </row>
    <row r="171" spans="1:21" x14ac:dyDescent="0.3">
      <c r="B171" s="23">
        <v>0</v>
      </c>
      <c r="C171" s="23">
        <v>0</v>
      </c>
      <c r="D171" s="24">
        <v>0</v>
      </c>
      <c r="E171" s="25">
        <v>0</v>
      </c>
      <c r="F171" s="25">
        <v>0</v>
      </c>
      <c r="G171" s="26">
        <v>0</v>
      </c>
      <c r="H171" s="26">
        <v>0</v>
      </c>
      <c r="I171" s="25">
        <v>0</v>
      </c>
      <c r="J171" s="26">
        <v>0</v>
      </c>
      <c r="K171" s="26">
        <v>0</v>
      </c>
      <c r="L171" s="26">
        <v>0</v>
      </c>
      <c r="M171" s="26">
        <v>0</v>
      </c>
      <c r="N171" s="26">
        <v>0</v>
      </c>
      <c r="O171" s="26">
        <v>0</v>
      </c>
      <c r="P171" s="23">
        <v>0</v>
      </c>
      <c r="Q171" s="23">
        <v>0</v>
      </c>
      <c r="R171" s="23">
        <v>0</v>
      </c>
      <c r="S171" s="2">
        <v>0</v>
      </c>
      <c r="T171" s="2">
        <v>0</v>
      </c>
      <c r="U171" s="2">
        <v>0</v>
      </c>
    </row>
    <row r="172" spans="1:21" x14ac:dyDescent="0.3">
      <c r="B172" s="23"/>
      <c r="C172" s="23"/>
      <c r="D172" s="24"/>
      <c r="E172" s="25"/>
      <c r="F172" s="25"/>
      <c r="G172" s="26"/>
      <c r="H172" s="26"/>
      <c r="I172" s="25"/>
      <c r="J172" s="26"/>
      <c r="K172" s="26"/>
      <c r="L172" s="26"/>
      <c r="M172" s="26"/>
      <c r="N172" s="26"/>
      <c r="O172" s="26"/>
      <c r="P172" s="23"/>
      <c r="Q172" s="23"/>
      <c r="R172" s="23"/>
      <c r="S172" s="2"/>
      <c r="T172" s="2"/>
      <c r="U172" s="2"/>
    </row>
    <row r="174" spans="1:21" x14ac:dyDescent="0.3">
      <c r="A174" s="42" t="s">
        <v>245</v>
      </c>
    </row>
    <row r="175" spans="1:21" x14ac:dyDescent="0.3">
      <c r="A175" s="42" t="s">
        <v>239</v>
      </c>
    </row>
    <row r="177" spans="1:2" x14ac:dyDescent="0.3">
      <c r="A177" s="42" t="s">
        <v>258</v>
      </c>
      <c r="B177" s="4"/>
    </row>
    <row r="178" spans="1:2" x14ac:dyDescent="0.3">
      <c r="A178" s="42" t="s">
        <v>252</v>
      </c>
      <c r="B178" s="4"/>
    </row>
    <row r="179" spans="1:2" x14ac:dyDescent="0.3">
      <c r="A179" s="42" t="s">
        <v>269</v>
      </c>
      <c r="B179" s="4"/>
    </row>
    <row r="181" spans="1:2" x14ac:dyDescent="0.3">
      <c r="A181" s="42" t="s">
        <v>268</v>
      </c>
    </row>
    <row r="186" spans="1:2" x14ac:dyDescent="0.3">
      <c r="A186" s="42" t="s">
        <v>260</v>
      </c>
    </row>
    <row r="187" spans="1:2" x14ac:dyDescent="0.3">
      <c r="A187" s="42" t="s">
        <v>261</v>
      </c>
    </row>
    <row r="188" spans="1:2" x14ac:dyDescent="0.3">
      <c r="A188" s="42" t="s">
        <v>259</v>
      </c>
      <c r="B188" s="4"/>
    </row>
    <row r="190" spans="1:2" x14ac:dyDescent="0.3">
      <c r="A190" s="42" t="s">
        <v>262</v>
      </c>
    </row>
    <row r="191" spans="1:2" x14ac:dyDescent="0.3">
      <c r="A191" s="42" t="s">
        <v>263</v>
      </c>
    </row>
    <row r="192" spans="1:2" x14ac:dyDescent="0.3">
      <c r="A192" s="42" t="s">
        <v>264</v>
      </c>
      <c r="B192" s="4"/>
    </row>
    <row r="194" spans="1:21" x14ac:dyDescent="0.3">
      <c r="A194" s="42" t="s">
        <v>265</v>
      </c>
    </row>
    <row r="195" spans="1:21" x14ac:dyDescent="0.3">
      <c r="A195" s="42" t="s">
        <v>266</v>
      </c>
    </row>
    <row r="196" spans="1:21" x14ac:dyDescent="0.3">
      <c r="A196" s="42" t="s">
        <v>267</v>
      </c>
      <c r="B196" s="4"/>
    </row>
    <row r="198" spans="1:21" x14ac:dyDescent="0.3">
      <c r="A198" s="44" t="s">
        <v>230</v>
      </c>
      <c r="B198" s="40" t="s">
        <v>272</v>
      </c>
      <c r="C198" s="41"/>
      <c r="D198" s="41"/>
      <c r="E198" s="41"/>
      <c r="F198" s="41"/>
      <c r="G198" s="41"/>
      <c r="H198" s="41"/>
      <c r="I198" s="41"/>
      <c r="J198" s="41"/>
      <c r="K198" s="41"/>
      <c r="L198" s="41"/>
      <c r="M198" s="41"/>
      <c r="N198" s="41"/>
      <c r="O198" s="41"/>
      <c r="P198" s="41"/>
      <c r="Q198" s="41"/>
      <c r="R198" s="41"/>
      <c r="S198" s="41"/>
      <c r="T198" s="41"/>
      <c r="U198" s="41"/>
    </row>
    <row r="200" spans="1:21" ht="28.8" x14ac:dyDescent="0.3">
      <c r="B200" s="19" t="s">
        <v>0</v>
      </c>
      <c r="C200" s="33" t="s">
        <v>229</v>
      </c>
      <c r="D200" s="34" t="s">
        <v>231</v>
      </c>
      <c r="E200" s="35" t="s">
        <v>232</v>
      </c>
      <c r="F200" s="38" t="s">
        <v>233</v>
      </c>
      <c r="G200" s="39"/>
      <c r="H200" s="38" t="s">
        <v>234</v>
      </c>
      <c r="I200" s="39"/>
      <c r="J200" s="38" t="s">
        <v>235</v>
      </c>
      <c r="K200" s="39"/>
      <c r="L200" s="39"/>
      <c r="M200" s="39"/>
      <c r="N200" s="38" t="s">
        <v>236</v>
      </c>
      <c r="O200" s="39"/>
      <c r="P200" s="39"/>
      <c r="Q200" s="39"/>
      <c r="R200" s="33" t="s">
        <v>1</v>
      </c>
      <c r="S200" s="15" t="s">
        <v>228</v>
      </c>
      <c r="T200" s="15" t="s">
        <v>2</v>
      </c>
      <c r="U200" s="15" t="s">
        <v>3</v>
      </c>
    </row>
    <row r="201" spans="1:21" x14ac:dyDescent="0.3">
      <c r="B201" s="23" cm="1">
        <f t="array" ref="B201:U203">'2. Master Tire Specs  '!C372:V374</f>
        <v>0</v>
      </c>
      <c r="C201" s="23">
        <v>0</v>
      </c>
      <c r="D201" s="24">
        <v>0</v>
      </c>
      <c r="E201" s="25">
        <v>0</v>
      </c>
      <c r="F201" s="25">
        <v>0</v>
      </c>
      <c r="G201" s="26">
        <v>0</v>
      </c>
      <c r="H201" s="26">
        <v>0</v>
      </c>
      <c r="I201" s="25">
        <v>0</v>
      </c>
      <c r="J201" s="26">
        <v>0</v>
      </c>
      <c r="K201" s="26">
        <v>0</v>
      </c>
      <c r="L201" s="26">
        <v>0</v>
      </c>
      <c r="M201" s="23">
        <v>0</v>
      </c>
      <c r="N201" s="26">
        <v>0</v>
      </c>
      <c r="O201" s="26">
        <v>0</v>
      </c>
      <c r="P201" s="23">
        <v>0</v>
      </c>
      <c r="Q201" s="23">
        <v>0</v>
      </c>
      <c r="R201" s="23">
        <v>0</v>
      </c>
      <c r="S201" s="2">
        <v>0</v>
      </c>
      <c r="T201" s="2">
        <v>0</v>
      </c>
      <c r="U201" s="2">
        <v>0</v>
      </c>
    </row>
    <row r="202" spans="1:21" x14ac:dyDescent="0.3">
      <c r="B202" s="23">
        <v>0</v>
      </c>
      <c r="C202" s="23">
        <v>0</v>
      </c>
      <c r="D202" s="24">
        <v>0</v>
      </c>
      <c r="E202" s="25">
        <v>0</v>
      </c>
      <c r="F202" s="25">
        <v>0</v>
      </c>
      <c r="G202" s="26">
        <v>0</v>
      </c>
      <c r="H202" s="26">
        <v>0</v>
      </c>
      <c r="I202" s="25">
        <v>0</v>
      </c>
      <c r="J202" s="26">
        <v>0</v>
      </c>
      <c r="K202" s="26">
        <v>0</v>
      </c>
      <c r="L202" s="26">
        <v>0</v>
      </c>
      <c r="M202" s="26">
        <v>0</v>
      </c>
      <c r="N202" s="26">
        <v>0</v>
      </c>
      <c r="O202" s="26">
        <v>0</v>
      </c>
      <c r="P202" s="23">
        <v>0</v>
      </c>
      <c r="Q202" s="23">
        <v>0</v>
      </c>
      <c r="R202" s="23">
        <v>0</v>
      </c>
      <c r="S202" s="2">
        <v>0</v>
      </c>
      <c r="T202" s="2">
        <v>0</v>
      </c>
      <c r="U202" s="2">
        <v>0</v>
      </c>
    </row>
    <row r="203" spans="1:21" x14ac:dyDescent="0.3">
      <c r="B203" s="23">
        <v>0</v>
      </c>
      <c r="C203" s="23">
        <v>0</v>
      </c>
      <c r="D203" s="24">
        <v>0</v>
      </c>
      <c r="E203" s="25">
        <v>0</v>
      </c>
      <c r="F203" s="25">
        <v>0</v>
      </c>
      <c r="G203" s="26">
        <v>0</v>
      </c>
      <c r="H203" s="26">
        <v>0</v>
      </c>
      <c r="I203" s="25">
        <v>0</v>
      </c>
      <c r="J203" s="26">
        <v>0</v>
      </c>
      <c r="K203" s="26">
        <v>0</v>
      </c>
      <c r="L203" s="26">
        <v>0</v>
      </c>
      <c r="M203" s="26">
        <v>0</v>
      </c>
      <c r="N203" s="26">
        <v>0</v>
      </c>
      <c r="O203" s="26">
        <v>0</v>
      </c>
      <c r="P203" s="23">
        <v>0</v>
      </c>
      <c r="Q203" s="23">
        <v>0</v>
      </c>
      <c r="R203" s="23">
        <v>0</v>
      </c>
      <c r="S203" s="2">
        <v>0</v>
      </c>
      <c r="T203" s="2">
        <v>0</v>
      </c>
      <c r="U203" s="2">
        <v>0</v>
      </c>
    </row>
    <row r="204" spans="1:21" x14ac:dyDescent="0.3">
      <c r="B204" s="23"/>
      <c r="C204" s="23"/>
      <c r="D204" s="24"/>
      <c r="E204" s="25"/>
      <c r="F204" s="25"/>
      <c r="G204" s="26"/>
      <c r="H204" s="26"/>
      <c r="I204" s="25"/>
      <c r="J204" s="26"/>
      <c r="K204" s="26"/>
      <c r="L204" s="26"/>
      <c r="M204" s="26"/>
      <c r="N204" s="26"/>
      <c r="O204" s="26"/>
      <c r="P204" s="23"/>
      <c r="Q204" s="23"/>
      <c r="R204" s="23"/>
      <c r="S204" s="2"/>
      <c r="T204" s="2"/>
      <c r="U204" s="2"/>
    </row>
    <row r="206" spans="1:21" x14ac:dyDescent="0.3">
      <c r="A206" s="42" t="s">
        <v>245</v>
      </c>
    </row>
    <row r="207" spans="1:21" x14ac:dyDescent="0.3">
      <c r="A207" s="42" t="s">
        <v>239</v>
      </c>
    </row>
    <row r="209" spans="1:2" x14ac:dyDescent="0.3">
      <c r="A209" s="42" t="s">
        <v>258</v>
      </c>
      <c r="B209" s="4"/>
    </row>
    <row r="210" spans="1:2" x14ac:dyDescent="0.3">
      <c r="A210" s="42" t="s">
        <v>252</v>
      </c>
      <c r="B210" s="4"/>
    </row>
    <row r="211" spans="1:2" x14ac:dyDescent="0.3">
      <c r="A211" s="42" t="s">
        <v>269</v>
      </c>
      <c r="B211" s="4"/>
    </row>
    <row r="213" spans="1:2" x14ac:dyDescent="0.3">
      <c r="A213" s="42" t="s">
        <v>268</v>
      </c>
    </row>
    <row r="218" spans="1:2" x14ac:dyDescent="0.3">
      <c r="A218" s="42" t="s">
        <v>260</v>
      </c>
    </row>
    <row r="219" spans="1:2" x14ac:dyDescent="0.3">
      <c r="A219" s="42" t="s">
        <v>261</v>
      </c>
    </row>
    <row r="220" spans="1:2" x14ac:dyDescent="0.3">
      <c r="A220" s="42" t="s">
        <v>259</v>
      </c>
      <c r="B220" s="4"/>
    </row>
    <row r="222" spans="1:2" x14ac:dyDescent="0.3">
      <c r="A222" s="42" t="s">
        <v>262</v>
      </c>
    </row>
    <row r="223" spans="1:2" x14ac:dyDescent="0.3">
      <c r="A223" s="42" t="s">
        <v>263</v>
      </c>
    </row>
    <row r="224" spans="1:2" x14ac:dyDescent="0.3">
      <c r="A224" s="42" t="s">
        <v>264</v>
      </c>
      <c r="B224" s="4"/>
    </row>
    <row r="226" spans="1:21" x14ac:dyDescent="0.3">
      <c r="A226" s="42" t="s">
        <v>265</v>
      </c>
    </row>
    <row r="227" spans="1:21" x14ac:dyDescent="0.3">
      <c r="A227" s="42" t="s">
        <v>266</v>
      </c>
    </row>
    <row r="228" spans="1:21" x14ac:dyDescent="0.3">
      <c r="A228" s="42" t="s">
        <v>267</v>
      </c>
      <c r="B228" s="4"/>
    </row>
    <row r="231" spans="1:21" x14ac:dyDescent="0.3">
      <c r="A231" s="44" t="s">
        <v>230</v>
      </c>
      <c r="B231" s="40" t="s">
        <v>272</v>
      </c>
      <c r="C231" s="41"/>
      <c r="D231" s="41"/>
      <c r="E231" s="41"/>
      <c r="F231" s="41"/>
      <c r="G231" s="41"/>
      <c r="H231" s="41"/>
      <c r="I231" s="41"/>
      <c r="J231" s="41"/>
      <c r="K231" s="41"/>
      <c r="L231" s="41"/>
      <c r="M231" s="41"/>
      <c r="N231" s="41"/>
      <c r="O231" s="41"/>
      <c r="P231" s="41"/>
      <c r="Q231" s="41"/>
      <c r="R231" s="41"/>
      <c r="S231" s="41"/>
      <c r="T231" s="41"/>
      <c r="U231" s="41"/>
    </row>
    <row r="233" spans="1:21" ht="28.8" x14ac:dyDescent="0.3">
      <c r="B233" s="19" t="s">
        <v>0</v>
      </c>
      <c r="C233" s="33" t="s">
        <v>229</v>
      </c>
      <c r="D233" s="34" t="s">
        <v>231</v>
      </c>
      <c r="E233" s="35" t="s">
        <v>232</v>
      </c>
      <c r="F233" s="38" t="s">
        <v>233</v>
      </c>
      <c r="G233" s="39"/>
      <c r="H233" s="38" t="s">
        <v>234</v>
      </c>
      <c r="I233" s="39"/>
      <c r="J233" s="38" t="s">
        <v>235</v>
      </c>
      <c r="K233" s="39"/>
      <c r="L233" s="39"/>
      <c r="M233" s="39"/>
      <c r="N233" s="38" t="s">
        <v>236</v>
      </c>
      <c r="O233" s="39"/>
      <c r="P233" s="39"/>
      <c r="Q233" s="39"/>
      <c r="R233" s="33" t="s">
        <v>1</v>
      </c>
      <c r="S233" s="15" t="s">
        <v>228</v>
      </c>
      <c r="T233" s="15" t="s">
        <v>2</v>
      </c>
      <c r="U233" s="15" t="s">
        <v>3</v>
      </c>
    </row>
    <row r="234" spans="1:21" x14ac:dyDescent="0.3">
      <c r="B234" s="23" cm="1">
        <f t="array" ref="B234:U236">'2. Master Tire Specs  '!C405:V407</f>
        <v>0</v>
      </c>
      <c r="C234" s="23">
        <v>0</v>
      </c>
      <c r="D234" s="24">
        <v>0</v>
      </c>
      <c r="E234" s="25">
        <v>0</v>
      </c>
      <c r="F234" s="25">
        <v>0</v>
      </c>
      <c r="G234" s="26">
        <v>0</v>
      </c>
      <c r="H234" s="26">
        <v>0</v>
      </c>
      <c r="I234" s="25">
        <v>0</v>
      </c>
      <c r="J234" s="26">
        <v>0</v>
      </c>
      <c r="K234" s="26">
        <v>0</v>
      </c>
      <c r="L234" s="26">
        <v>0</v>
      </c>
      <c r="M234" s="23">
        <v>0</v>
      </c>
      <c r="N234" s="26">
        <v>0</v>
      </c>
      <c r="O234" s="26">
        <v>0</v>
      </c>
      <c r="P234" s="23">
        <v>0</v>
      </c>
      <c r="Q234" s="23">
        <v>0</v>
      </c>
      <c r="R234" s="23">
        <v>0</v>
      </c>
      <c r="S234" s="2">
        <v>0</v>
      </c>
      <c r="T234" s="2">
        <v>0</v>
      </c>
      <c r="U234" s="2">
        <v>0</v>
      </c>
    </row>
    <row r="235" spans="1:21" x14ac:dyDescent="0.3">
      <c r="B235" s="23">
        <v>0</v>
      </c>
      <c r="C235" s="23">
        <v>0</v>
      </c>
      <c r="D235" s="24">
        <v>0</v>
      </c>
      <c r="E235" s="25">
        <v>0</v>
      </c>
      <c r="F235" s="25">
        <v>0</v>
      </c>
      <c r="G235" s="26">
        <v>0</v>
      </c>
      <c r="H235" s="26">
        <v>0</v>
      </c>
      <c r="I235" s="25">
        <v>0</v>
      </c>
      <c r="J235" s="26">
        <v>0</v>
      </c>
      <c r="K235" s="26">
        <v>0</v>
      </c>
      <c r="L235" s="26">
        <v>0</v>
      </c>
      <c r="M235" s="26">
        <v>0</v>
      </c>
      <c r="N235" s="26">
        <v>0</v>
      </c>
      <c r="O235" s="26">
        <v>0</v>
      </c>
      <c r="P235" s="23">
        <v>0</v>
      </c>
      <c r="Q235" s="23">
        <v>0</v>
      </c>
      <c r="R235" s="23">
        <v>0</v>
      </c>
      <c r="S235" s="2">
        <v>0</v>
      </c>
      <c r="T235" s="2">
        <v>0</v>
      </c>
      <c r="U235" s="2">
        <v>0</v>
      </c>
    </row>
    <row r="236" spans="1:21" x14ac:dyDescent="0.3">
      <c r="B236" s="23">
        <v>0</v>
      </c>
      <c r="C236" s="23">
        <v>0</v>
      </c>
      <c r="D236" s="24">
        <v>0</v>
      </c>
      <c r="E236" s="25">
        <v>0</v>
      </c>
      <c r="F236" s="25">
        <v>0</v>
      </c>
      <c r="G236" s="26">
        <v>0</v>
      </c>
      <c r="H236" s="26">
        <v>0</v>
      </c>
      <c r="I236" s="25">
        <v>0</v>
      </c>
      <c r="J236" s="26">
        <v>0</v>
      </c>
      <c r="K236" s="26">
        <v>0</v>
      </c>
      <c r="L236" s="26">
        <v>0</v>
      </c>
      <c r="M236" s="26">
        <v>0</v>
      </c>
      <c r="N236" s="26">
        <v>0</v>
      </c>
      <c r="O236" s="26">
        <v>0</v>
      </c>
      <c r="P236" s="23">
        <v>0</v>
      </c>
      <c r="Q236" s="23">
        <v>0</v>
      </c>
      <c r="R236" s="23">
        <v>0</v>
      </c>
      <c r="S236" s="2">
        <v>0</v>
      </c>
      <c r="T236" s="2">
        <v>0</v>
      </c>
      <c r="U236" s="2">
        <v>0</v>
      </c>
    </row>
    <row r="237" spans="1:21" x14ac:dyDescent="0.3">
      <c r="B237" s="23"/>
      <c r="C237" s="23"/>
      <c r="D237" s="24"/>
      <c r="E237" s="25"/>
      <c r="F237" s="25"/>
      <c r="G237" s="26"/>
      <c r="H237" s="26"/>
      <c r="I237" s="25"/>
      <c r="J237" s="26"/>
      <c r="K237" s="26"/>
      <c r="L237" s="26"/>
      <c r="M237" s="26"/>
      <c r="N237" s="26"/>
      <c r="O237" s="26"/>
      <c r="P237" s="23"/>
      <c r="Q237" s="23"/>
      <c r="R237" s="23"/>
      <c r="S237" s="2"/>
      <c r="T237" s="2"/>
      <c r="U237" s="2"/>
    </row>
    <row r="239" spans="1:21" x14ac:dyDescent="0.3">
      <c r="A239" s="42" t="s">
        <v>245</v>
      </c>
    </row>
    <row r="240" spans="1:21" x14ac:dyDescent="0.3">
      <c r="A240" s="42" t="s">
        <v>239</v>
      </c>
    </row>
    <row r="242" spans="1:2" x14ac:dyDescent="0.3">
      <c r="A242" s="42" t="s">
        <v>258</v>
      </c>
      <c r="B242" s="4"/>
    </row>
    <row r="243" spans="1:2" x14ac:dyDescent="0.3">
      <c r="A243" s="42" t="s">
        <v>252</v>
      </c>
      <c r="B243" s="4"/>
    </row>
    <row r="244" spans="1:2" x14ac:dyDescent="0.3">
      <c r="A244" s="42" t="s">
        <v>269</v>
      </c>
      <c r="B244" s="4"/>
    </row>
    <row r="246" spans="1:2" x14ac:dyDescent="0.3">
      <c r="A246" s="42" t="s">
        <v>268</v>
      </c>
    </row>
    <row r="251" spans="1:2" x14ac:dyDescent="0.3">
      <c r="A251" s="42" t="s">
        <v>260</v>
      </c>
    </row>
    <row r="252" spans="1:2" x14ac:dyDescent="0.3">
      <c r="A252" s="42" t="s">
        <v>261</v>
      </c>
    </row>
    <row r="253" spans="1:2" x14ac:dyDescent="0.3">
      <c r="A253" s="42" t="s">
        <v>259</v>
      </c>
      <c r="B253" s="4"/>
    </row>
    <row r="255" spans="1:2" x14ac:dyDescent="0.3">
      <c r="A255" s="42" t="s">
        <v>262</v>
      </c>
    </row>
    <row r="256" spans="1:2" x14ac:dyDescent="0.3">
      <c r="A256" s="42" t="s">
        <v>263</v>
      </c>
    </row>
    <row r="257" spans="1:21" x14ac:dyDescent="0.3">
      <c r="A257" s="42" t="s">
        <v>264</v>
      </c>
      <c r="B257" s="4"/>
    </row>
    <row r="259" spans="1:21" x14ac:dyDescent="0.3">
      <c r="A259" s="42" t="s">
        <v>265</v>
      </c>
    </row>
    <row r="260" spans="1:21" x14ac:dyDescent="0.3">
      <c r="A260" s="42" t="s">
        <v>266</v>
      </c>
    </row>
    <row r="261" spans="1:21" x14ac:dyDescent="0.3">
      <c r="A261" s="42" t="s">
        <v>267</v>
      </c>
      <c r="B261" s="4"/>
    </row>
    <row r="263" spans="1:21" x14ac:dyDescent="0.3">
      <c r="A263" s="44" t="s">
        <v>230</v>
      </c>
      <c r="B263" s="40" t="s">
        <v>272</v>
      </c>
      <c r="C263" s="41"/>
      <c r="D263" s="41"/>
      <c r="E263" s="41"/>
      <c r="F263" s="41"/>
      <c r="G263" s="41"/>
      <c r="H263" s="41"/>
      <c r="I263" s="41"/>
      <c r="J263" s="41"/>
      <c r="K263" s="41"/>
      <c r="L263" s="41"/>
      <c r="M263" s="41"/>
      <c r="N263" s="41"/>
      <c r="O263" s="41"/>
      <c r="P263" s="41"/>
      <c r="Q263" s="41"/>
      <c r="R263" s="41"/>
      <c r="S263" s="41"/>
      <c r="T263" s="41"/>
      <c r="U263" s="41"/>
    </row>
    <row r="265" spans="1:21" ht="28.8" x14ac:dyDescent="0.3">
      <c r="B265" s="19" t="s">
        <v>0</v>
      </c>
      <c r="C265" s="33" t="s">
        <v>229</v>
      </c>
      <c r="D265" s="34" t="s">
        <v>231</v>
      </c>
      <c r="E265" s="35" t="s">
        <v>232</v>
      </c>
      <c r="F265" s="38" t="s">
        <v>233</v>
      </c>
      <c r="G265" s="39"/>
      <c r="H265" s="38" t="s">
        <v>234</v>
      </c>
      <c r="I265" s="39"/>
      <c r="J265" s="38" t="s">
        <v>235</v>
      </c>
      <c r="K265" s="39"/>
      <c r="L265" s="39"/>
      <c r="M265" s="39"/>
      <c r="N265" s="38" t="s">
        <v>236</v>
      </c>
      <c r="O265" s="39"/>
      <c r="P265" s="39"/>
      <c r="Q265" s="39"/>
      <c r="R265" s="33" t="s">
        <v>1</v>
      </c>
      <c r="S265" s="15" t="s">
        <v>228</v>
      </c>
      <c r="T265" s="15" t="s">
        <v>2</v>
      </c>
      <c r="U265" s="15" t="s">
        <v>3</v>
      </c>
    </row>
    <row r="266" spans="1:21" x14ac:dyDescent="0.3">
      <c r="B266" s="23" cm="1">
        <f t="array" ref="B266:U268">'2. Master Tire Specs  '!C437:V439</f>
        <v>0</v>
      </c>
      <c r="C266" s="23">
        <v>0</v>
      </c>
      <c r="D266" s="24">
        <v>0</v>
      </c>
      <c r="E266" s="25">
        <v>0</v>
      </c>
      <c r="F266" s="25">
        <v>0</v>
      </c>
      <c r="G266" s="26">
        <v>0</v>
      </c>
      <c r="H266" s="26">
        <v>0</v>
      </c>
      <c r="I266" s="25">
        <v>0</v>
      </c>
      <c r="J266" s="26">
        <v>0</v>
      </c>
      <c r="K266" s="26">
        <v>0</v>
      </c>
      <c r="L266" s="26">
        <v>0</v>
      </c>
      <c r="M266" s="23">
        <v>0</v>
      </c>
      <c r="N266" s="26">
        <v>0</v>
      </c>
      <c r="O266" s="26">
        <v>0</v>
      </c>
      <c r="P266" s="23">
        <v>0</v>
      </c>
      <c r="Q266" s="23">
        <v>0</v>
      </c>
      <c r="R266" s="23">
        <v>0</v>
      </c>
      <c r="S266" s="2">
        <v>0</v>
      </c>
      <c r="T266" s="2">
        <v>0</v>
      </c>
      <c r="U266" s="2">
        <v>0</v>
      </c>
    </row>
    <row r="267" spans="1:21" x14ac:dyDescent="0.3">
      <c r="B267" s="23">
        <v>0</v>
      </c>
      <c r="C267" s="23">
        <v>0</v>
      </c>
      <c r="D267" s="24">
        <v>0</v>
      </c>
      <c r="E267" s="25">
        <v>0</v>
      </c>
      <c r="F267" s="25">
        <v>0</v>
      </c>
      <c r="G267" s="26">
        <v>0</v>
      </c>
      <c r="H267" s="26">
        <v>0</v>
      </c>
      <c r="I267" s="25">
        <v>0</v>
      </c>
      <c r="J267" s="26">
        <v>0</v>
      </c>
      <c r="K267" s="26">
        <v>0</v>
      </c>
      <c r="L267" s="26">
        <v>0</v>
      </c>
      <c r="M267" s="26">
        <v>0</v>
      </c>
      <c r="N267" s="26">
        <v>0</v>
      </c>
      <c r="O267" s="26">
        <v>0</v>
      </c>
      <c r="P267" s="23">
        <v>0</v>
      </c>
      <c r="Q267" s="23">
        <v>0</v>
      </c>
      <c r="R267" s="23">
        <v>0</v>
      </c>
      <c r="S267" s="2">
        <v>0</v>
      </c>
      <c r="T267" s="2">
        <v>0</v>
      </c>
      <c r="U267" s="2">
        <v>0</v>
      </c>
    </row>
    <row r="268" spans="1:21" x14ac:dyDescent="0.3">
      <c r="B268" s="23">
        <v>0</v>
      </c>
      <c r="C268" s="23">
        <v>0</v>
      </c>
      <c r="D268" s="24">
        <v>0</v>
      </c>
      <c r="E268" s="25">
        <v>0</v>
      </c>
      <c r="F268" s="25">
        <v>0</v>
      </c>
      <c r="G268" s="26">
        <v>0</v>
      </c>
      <c r="H268" s="26">
        <v>0</v>
      </c>
      <c r="I268" s="25">
        <v>0</v>
      </c>
      <c r="J268" s="26">
        <v>0</v>
      </c>
      <c r="K268" s="26">
        <v>0</v>
      </c>
      <c r="L268" s="26">
        <v>0</v>
      </c>
      <c r="M268" s="26">
        <v>0</v>
      </c>
      <c r="N268" s="26">
        <v>0</v>
      </c>
      <c r="O268" s="26">
        <v>0</v>
      </c>
      <c r="P268" s="23">
        <v>0</v>
      </c>
      <c r="Q268" s="23">
        <v>0</v>
      </c>
      <c r="R268" s="23">
        <v>0</v>
      </c>
      <c r="S268" s="2">
        <v>0</v>
      </c>
      <c r="T268" s="2">
        <v>0</v>
      </c>
      <c r="U268" s="2">
        <v>0</v>
      </c>
    </row>
    <row r="269" spans="1:21" x14ac:dyDescent="0.3">
      <c r="B269" s="23"/>
      <c r="C269" s="23"/>
      <c r="D269" s="24"/>
      <c r="E269" s="25"/>
      <c r="F269" s="25"/>
      <c r="G269" s="26"/>
      <c r="H269" s="26"/>
      <c r="I269" s="25"/>
      <c r="J269" s="26"/>
      <c r="K269" s="26"/>
      <c r="L269" s="26"/>
      <c r="M269" s="26"/>
      <c r="N269" s="26"/>
      <c r="O269" s="26"/>
      <c r="P269" s="23"/>
      <c r="Q269" s="23"/>
      <c r="R269" s="23"/>
      <c r="S269" s="2"/>
      <c r="T269" s="2"/>
      <c r="U269" s="2"/>
    </row>
    <row r="271" spans="1:21" x14ac:dyDescent="0.3">
      <c r="A271" s="42" t="s">
        <v>245</v>
      </c>
    </row>
    <row r="272" spans="1:21" x14ac:dyDescent="0.3">
      <c r="A272" s="42" t="s">
        <v>239</v>
      </c>
    </row>
    <row r="274" spans="1:2" x14ac:dyDescent="0.3">
      <c r="A274" s="42" t="s">
        <v>258</v>
      </c>
      <c r="B274" s="4"/>
    </row>
    <row r="275" spans="1:2" x14ac:dyDescent="0.3">
      <c r="A275" s="42" t="s">
        <v>252</v>
      </c>
      <c r="B275" s="4"/>
    </row>
    <row r="276" spans="1:2" x14ac:dyDescent="0.3">
      <c r="A276" s="42" t="s">
        <v>269</v>
      </c>
      <c r="B276" s="4"/>
    </row>
    <row r="278" spans="1:2" x14ac:dyDescent="0.3">
      <c r="A278" s="42" t="s">
        <v>268</v>
      </c>
    </row>
    <row r="283" spans="1:2" x14ac:dyDescent="0.3">
      <c r="A283" s="42" t="s">
        <v>260</v>
      </c>
    </row>
    <row r="284" spans="1:2" x14ac:dyDescent="0.3">
      <c r="A284" s="42" t="s">
        <v>261</v>
      </c>
    </row>
    <row r="285" spans="1:2" x14ac:dyDescent="0.3">
      <c r="A285" s="42" t="s">
        <v>259</v>
      </c>
      <c r="B285" s="4"/>
    </row>
    <row r="287" spans="1:2" x14ac:dyDescent="0.3">
      <c r="A287" s="42" t="s">
        <v>262</v>
      </c>
    </row>
    <row r="288" spans="1:2" x14ac:dyDescent="0.3">
      <c r="A288" s="42" t="s">
        <v>263</v>
      </c>
    </row>
    <row r="289" spans="1:21" x14ac:dyDescent="0.3">
      <c r="A289" s="42" t="s">
        <v>264</v>
      </c>
      <c r="B289" s="4"/>
    </row>
    <row r="291" spans="1:21" x14ac:dyDescent="0.3">
      <c r="A291" s="42" t="s">
        <v>265</v>
      </c>
    </row>
    <row r="292" spans="1:21" x14ac:dyDescent="0.3">
      <c r="A292" s="42" t="s">
        <v>266</v>
      </c>
    </row>
    <row r="293" spans="1:21" x14ac:dyDescent="0.3">
      <c r="A293" s="42" t="s">
        <v>267</v>
      </c>
      <c r="B293" s="4"/>
    </row>
    <row r="296" spans="1:21" x14ac:dyDescent="0.3">
      <c r="A296" s="44" t="s">
        <v>230</v>
      </c>
      <c r="B296" s="40" t="s">
        <v>272</v>
      </c>
      <c r="C296" s="41"/>
      <c r="D296" s="41"/>
      <c r="E296" s="41"/>
      <c r="F296" s="41"/>
      <c r="G296" s="41"/>
      <c r="H296" s="41"/>
      <c r="I296" s="41"/>
      <c r="J296" s="41"/>
      <c r="K296" s="41"/>
      <c r="L296" s="41"/>
      <c r="M296" s="41"/>
      <c r="N296" s="41"/>
      <c r="O296" s="41"/>
      <c r="P296" s="41"/>
      <c r="Q296" s="41"/>
      <c r="R296" s="41"/>
      <c r="S296" s="41"/>
      <c r="T296" s="41"/>
      <c r="U296" s="41"/>
    </row>
    <row r="298" spans="1:21" ht="28.8" x14ac:dyDescent="0.3">
      <c r="B298" s="19" t="s">
        <v>0</v>
      </c>
      <c r="C298" s="33" t="s">
        <v>229</v>
      </c>
      <c r="D298" s="34" t="s">
        <v>231</v>
      </c>
      <c r="E298" s="35" t="s">
        <v>232</v>
      </c>
      <c r="F298" s="38" t="s">
        <v>233</v>
      </c>
      <c r="G298" s="39"/>
      <c r="H298" s="38" t="s">
        <v>234</v>
      </c>
      <c r="I298" s="39"/>
      <c r="J298" s="38" t="s">
        <v>235</v>
      </c>
      <c r="K298" s="39"/>
      <c r="L298" s="39"/>
      <c r="M298" s="39"/>
      <c r="N298" s="38" t="s">
        <v>236</v>
      </c>
      <c r="O298" s="39"/>
      <c r="P298" s="39"/>
      <c r="Q298" s="39"/>
      <c r="R298" s="33" t="s">
        <v>1</v>
      </c>
      <c r="S298" s="15" t="s">
        <v>228</v>
      </c>
      <c r="T298" s="15" t="s">
        <v>2</v>
      </c>
      <c r="U298" s="15" t="s">
        <v>3</v>
      </c>
    </row>
    <row r="299" spans="1:21" x14ac:dyDescent="0.3">
      <c r="B299" s="23" cm="1">
        <f t="array" ref="B299:U301">'2. Master Tire Specs  '!C470:V472</f>
        <v>0</v>
      </c>
      <c r="C299" s="23">
        <v>0</v>
      </c>
      <c r="D299" s="24">
        <v>0</v>
      </c>
      <c r="E299" s="25">
        <v>0</v>
      </c>
      <c r="F299" s="25">
        <v>0</v>
      </c>
      <c r="G299" s="26">
        <v>0</v>
      </c>
      <c r="H299" s="26">
        <v>0</v>
      </c>
      <c r="I299" s="25">
        <v>0</v>
      </c>
      <c r="J299" s="26">
        <v>0</v>
      </c>
      <c r="K299" s="26">
        <v>0</v>
      </c>
      <c r="L299" s="26">
        <v>0</v>
      </c>
      <c r="M299" s="23">
        <v>0</v>
      </c>
      <c r="N299" s="26">
        <v>0</v>
      </c>
      <c r="O299" s="26">
        <v>0</v>
      </c>
      <c r="P299" s="23">
        <v>0</v>
      </c>
      <c r="Q299" s="23">
        <v>0</v>
      </c>
      <c r="R299" s="23">
        <v>0</v>
      </c>
      <c r="S299" s="2">
        <v>0</v>
      </c>
      <c r="T299" s="2">
        <v>0</v>
      </c>
      <c r="U299" s="2">
        <v>0</v>
      </c>
    </row>
    <row r="300" spans="1:21" x14ac:dyDescent="0.3">
      <c r="B300" s="23">
        <v>0</v>
      </c>
      <c r="C300" s="23">
        <v>0</v>
      </c>
      <c r="D300" s="24">
        <v>0</v>
      </c>
      <c r="E300" s="25">
        <v>0</v>
      </c>
      <c r="F300" s="25">
        <v>0</v>
      </c>
      <c r="G300" s="26">
        <v>0</v>
      </c>
      <c r="H300" s="26">
        <v>0</v>
      </c>
      <c r="I300" s="25">
        <v>0</v>
      </c>
      <c r="J300" s="26">
        <v>0</v>
      </c>
      <c r="K300" s="26">
        <v>0</v>
      </c>
      <c r="L300" s="26">
        <v>0</v>
      </c>
      <c r="M300" s="26">
        <v>0</v>
      </c>
      <c r="N300" s="26">
        <v>0</v>
      </c>
      <c r="O300" s="26">
        <v>0</v>
      </c>
      <c r="P300" s="23">
        <v>0</v>
      </c>
      <c r="Q300" s="23">
        <v>0</v>
      </c>
      <c r="R300" s="23">
        <v>0</v>
      </c>
      <c r="S300" s="2">
        <v>0</v>
      </c>
      <c r="T300" s="2">
        <v>0</v>
      </c>
      <c r="U300" s="2">
        <v>0</v>
      </c>
    </row>
    <row r="301" spans="1:21" x14ac:dyDescent="0.3">
      <c r="B301" s="23">
        <v>0</v>
      </c>
      <c r="C301" s="23">
        <v>0</v>
      </c>
      <c r="D301" s="24">
        <v>0</v>
      </c>
      <c r="E301" s="25">
        <v>0</v>
      </c>
      <c r="F301" s="25">
        <v>0</v>
      </c>
      <c r="G301" s="26">
        <v>0</v>
      </c>
      <c r="H301" s="26">
        <v>0</v>
      </c>
      <c r="I301" s="25">
        <v>0</v>
      </c>
      <c r="J301" s="26">
        <v>0</v>
      </c>
      <c r="K301" s="26">
        <v>0</v>
      </c>
      <c r="L301" s="26">
        <v>0</v>
      </c>
      <c r="M301" s="26">
        <v>0</v>
      </c>
      <c r="N301" s="26">
        <v>0</v>
      </c>
      <c r="O301" s="26">
        <v>0</v>
      </c>
      <c r="P301" s="23">
        <v>0</v>
      </c>
      <c r="Q301" s="23">
        <v>0</v>
      </c>
      <c r="R301" s="23">
        <v>0</v>
      </c>
      <c r="S301" s="2">
        <v>0</v>
      </c>
      <c r="T301" s="2">
        <v>0</v>
      </c>
      <c r="U301" s="2">
        <v>0</v>
      </c>
    </row>
    <row r="302" spans="1:21" x14ac:dyDescent="0.3">
      <c r="B302" s="23"/>
      <c r="C302" s="23"/>
      <c r="D302" s="24"/>
      <c r="E302" s="25"/>
      <c r="F302" s="25"/>
      <c r="G302" s="26"/>
      <c r="H302" s="26"/>
      <c r="I302" s="25"/>
      <c r="J302" s="26"/>
      <c r="K302" s="26"/>
      <c r="L302" s="26"/>
      <c r="M302" s="26"/>
      <c r="N302" s="26"/>
      <c r="O302" s="26"/>
      <c r="P302" s="23"/>
      <c r="Q302" s="23"/>
      <c r="R302" s="23"/>
      <c r="S302" s="2"/>
      <c r="T302" s="2"/>
      <c r="U302" s="2"/>
    </row>
    <row r="304" spans="1:21" x14ac:dyDescent="0.3">
      <c r="A304" s="42" t="s">
        <v>245</v>
      </c>
    </row>
    <row r="305" spans="1:2" x14ac:dyDescent="0.3">
      <c r="A305" s="42" t="s">
        <v>239</v>
      </c>
    </row>
    <row r="307" spans="1:2" x14ac:dyDescent="0.3">
      <c r="A307" s="42" t="s">
        <v>258</v>
      </c>
      <c r="B307" s="4"/>
    </row>
    <row r="308" spans="1:2" x14ac:dyDescent="0.3">
      <c r="A308" s="42" t="s">
        <v>252</v>
      </c>
      <c r="B308" s="4"/>
    </row>
    <row r="309" spans="1:2" x14ac:dyDescent="0.3">
      <c r="A309" s="42" t="s">
        <v>269</v>
      </c>
      <c r="B309" s="4"/>
    </row>
    <row r="311" spans="1:2" x14ac:dyDescent="0.3">
      <c r="A311" s="42" t="s">
        <v>268</v>
      </c>
    </row>
    <row r="316" spans="1:2" x14ac:dyDescent="0.3">
      <c r="A316" s="42" t="s">
        <v>260</v>
      </c>
    </row>
    <row r="317" spans="1:2" x14ac:dyDescent="0.3">
      <c r="A317" s="42" t="s">
        <v>261</v>
      </c>
    </row>
    <row r="318" spans="1:2" x14ac:dyDescent="0.3">
      <c r="A318" s="42" t="s">
        <v>259</v>
      </c>
      <c r="B318" s="4"/>
    </row>
    <row r="320" spans="1:2" x14ac:dyDescent="0.3">
      <c r="A320" s="42" t="s">
        <v>262</v>
      </c>
    </row>
    <row r="321" spans="1:21" x14ac:dyDescent="0.3">
      <c r="A321" s="42" t="s">
        <v>263</v>
      </c>
    </row>
    <row r="322" spans="1:21" x14ac:dyDescent="0.3">
      <c r="A322" s="42" t="s">
        <v>264</v>
      </c>
      <c r="B322" s="4"/>
    </row>
    <row r="324" spans="1:21" x14ac:dyDescent="0.3">
      <c r="A324" s="42" t="s">
        <v>265</v>
      </c>
    </row>
    <row r="325" spans="1:21" x14ac:dyDescent="0.3">
      <c r="A325" s="42" t="s">
        <v>266</v>
      </c>
    </row>
    <row r="326" spans="1:21" x14ac:dyDescent="0.3">
      <c r="A326" s="42" t="s">
        <v>267</v>
      </c>
      <c r="B326" s="4"/>
    </row>
    <row r="328" spans="1:21" x14ac:dyDescent="0.3">
      <c r="A328" s="44" t="s">
        <v>230</v>
      </c>
      <c r="B328" s="40" t="s">
        <v>272</v>
      </c>
      <c r="C328" s="41"/>
      <c r="D328" s="41"/>
      <c r="E328" s="41"/>
      <c r="F328" s="41"/>
      <c r="G328" s="41"/>
      <c r="H328" s="41"/>
      <c r="I328" s="41"/>
      <c r="J328" s="41"/>
      <c r="K328" s="41"/>
      <c r="L328" s="41"/>
      <c r="M328" s="41"/>
      <c r="N328" s="41"/>
      <c r="O328" s="41"/>
      <c r="P328" s="41"/>
      <c r="Q328" s="41"/>
      <c r="R328" s="41"/>
      <c r="S328" s="41"/>
      <c r="T328" s="41"/>
      <c r="U328" s="41"/>
    </row>
    <row r="330" spans="1:21" ht="28.8" x14ac:dyDescent="0.3">
      <c r="B330" s="19" t="s">
        <v>0</v>
      </c>
      <c r="C330" s="33" t="s">
        <v>229</v>
      </c>
      <c r="D330" s="34" t="s">
        <v>231</v>
      </c>
      <c r="E330" s="35" t="s">
        <v>232</v>
      </c>
      <c r="F330" s="38" t="s">
        <v>233</v>
      </c>
      <c r="G330" s="39"/>
      <c r="H330" s="38" t="s">
        <v>234</v>
      </c>
      <c r="I330" s="39"/>
      <c r="J330" s="38" t="s">
        <v>235</v>
      </c>
      <c r="K330" s="39"/>
      <c r="L330" s="39"/>
      <c r="M330" s="39"/>
      <c r="N330" s="38" t="s">
        <v>236</v>
      </c>
      <c r="O330" s="39"/>
      <c r="P330" s="39"/>
      <c r="Q330" s="39"/>
      <c r="R330" s="33" t="s">
        <v>1</v>
      </c>
      <c r="S330" s="15" t="s">
        <v>228</v>
      </c>
      <c r="T330" s="15" t="s">
        <v>2</v>
      </c>
      <c r="U330" s="15" t="s">
        <v>3</v>
      </c>
    </row>
    <row r="331" spans="1:21" x14ac:dyDescent="0.3">
      <c r="B331" s="23" cm="1">
        <f t="array" ref="B331:U333">'2. Master Tire Specs  '!C502:V504</f>
        <v>0</v>
      </c>
      <c r="C331" s="23">
        <v>0</v>
      </c>
      <c r="D331" s="24">
        <v>0</v>
      </c>
      <c r="E331" s="25">
        <v>0</v>
      </c>
      <c r="F331" s="25">
        <v>0</v>
      </c>
      <c r="G331" s="26">
        <v>0</v>
      </c>
      <c r="H331" s="26">
        <v>0</v>
      </c>
      <c r="I331" s="25">
        <v>0</v>
      </c>
      <c r="J331" s="26">
        <v>0</v>
      </c>
      <c r="K331" s="26">
        <v>0</v>
      </c>
      <c r="L331" s="26">
        <v>0</v>
      </c>
      <c r="M331" s="23">
        <v>0</v>
      </c>
      <c r="N331" s="26">
        <v>0</v>
      </c>
      <c r="O331" s="26">
        <v>0</v>
      </c>
      <c r="P331" s="23">
        <v>0</v>
      </c>
      <c r="Q331" s="23">
        <v>0</v>
      </c>
      <c r="R331" s="23">
        <v>0</v>
      </c>
      <c r="S331" s="2">
        <v>0</v>
      </c>
      <c r="T331" s="2">
        <v>0</v>
      </c>
      <c r="U331" s="2">
        <v>0</v>
      </c>
    </row>
    <row r="332" spans="1:21" x14ac:dyDescent="0.3">
      <c r="B332" s="23">
        <v>0</v>
      </c>
      <c r="C332" s="23">
        <v>0</v>
      </c>
      <c r="D332" s="24">
        <v>0</v>
      </c>
      <c r="E332" s="25">
        <v>0</v>
      </c>
      <c r="F332" s="25">
        <v>0</v>
      </c>
      <c r="G332" s="26">
        <v>0</v>
      </c>
      <c r="H332" s="26">
        <v>0</v>
      </c>
      <c r="I332" s="25">
        <v>0</v>
      </c>
      <c r="J332" s="26">
        <v>0</v>
      </c>
      <c r="K332" s="26">
        <v>0</v>
      </c>
      <c r="L332" s="26">
        <v>0</v>
      </c>
      <c r="M332" s="26">
        <v>0</v>
      </c>
      <c r="N332" s="26">
        <v>0</v>
      </c>
      <c r="O332" s="26">
        <v>0</v>
      </c>
      <c r="P332" s="23">
        <v>0</v>
      </c>
      <c r="Q332" s="23">
        <v>0</v>
      </c>
      <c r="R332" s="23">
        <v>0</v>
      </c>
      <c r="S332" s="2">
        <v>0</v>
      </c>
      <c r="T332" s="2">
        <v>0</v>
      </c>
      <c r="U332" s="2">
        <v>0</v>
      </c>
    </row>
    <row r="333" spans="1:21" x14ac:dyDescent="0.3">
      <c r="B333" s="23">
        <v>0</v>
      </c>
      <c r="C333" s="23">
        <v>0</v>
      </c>
      <c r="D333" s="24">
        <v>0</v>
      </c>
      <c r="E333" s="25">
        <v>0</v>
      </c>
      <c r="F333" s="25">
        <v>0</v>
      </c>
      <c r="G333" s="26">
        <v>0</v>
      </c>
      <c r="H333" s="26">
        <v>0</v>
      </c>
      <c r="I333" s="25">
        <v>0</v>
      </c>
      <c r="J333" s="26">
        <v>0</v>
      </c>
      <c r="K333" s="26">
        <v>0</v>
      </c>
      <c r="L333" s="26">
        <v>0</v>
      </c>
      <c r="M333" s="26">
        <v>0</v>
      </c>
      <c r="N333" s="26">
        <v>0</v>
      </c>
      <c r="O333" s="26">
        <v>0</v>
      </c>
      <c r="P333" s="23">
        <v>0</v>
      </c>
      <c r="Q333" s="23">
        <v>0</v>
      </c>
      <c r="R333" s="23">
        <v>0</v>
      </c>
      <c r="S333" s="2">
        <v>0</v>
      </c>
      <c r="T333" s="2">
        <v>0</v>
      </c>
      <c r="U333" s="2">
        <v>0</v>
      </c>
    </row>
    <row r="334" spans="1:21" x14ac:dyDescent="0.3">
      <c r="B334" s="23"/>
      <c r="C334" s="23"/>
      <c r="D334" s="24"/>
      <c r="E334" s="25"/>
      <c r="F334" s="25"/>
      <c r="G334" s="26"/>
      <c r="H334" s="26"/>
      <c r="I334" s="25"/>
      <c r="J334" s="26"/>
      <c r="K334" s="26"/>
      <c r="L334" s="26"/>
      <c r="M334" s="26"/>
      <c r="N334" s="26"/>
      <c r="O334" s="26"/>
      <c r="P334" s="23"/>
      <c r="Q334" s="23"/>
      <c r="R334" s="23"/>
      <c r="S334" s="2"/>
      <c r="T334" s="2"/>
      <c r="U334" s="2"/>
    </row>
    <row r="336" spans="1:21" x14ac:dyDescent="0.3">
      <c r="A336" s="42" t="s">
        <v>245</v>
      </c>
    </row>
    <row r="337" spans="1:2" x14ac:dyDescent="0.3">
      <c r="A337" s="42" t="s">
        <v>239</v>
      </c>
    </row>
    <row r="339" spans="1:2" x14ac:dyDescent="0.3">
      <c r="A339" s="42" t="s">
        <v>258</v>
      </c>
      <c r="B339" s="4"/>
    </row>
    <row r="340" spans="1:2" x14ac:dyDescent="0.3">
      <c r="A340" s="42" t="s">
        <v>252</v>
      </c>
      <c r="B340" s="4"/>
    </row>
    <row r="341" spans="1:2" x14ac:dyDescent="0.3">
      <c r="A341" s="42" t="s">
        <v>269</v>
      </c>
      <c r="B341" s="4"/>
    </row>
    <row r="343" spans="1:2" x14ac:dyDescent="0.3">
      <c r="A343" s="42" t="s">
        <v>268</v>
      </c>
    </row>
    <row r="348" spans="1:2" x14ac:dyDescent="0.3">
      <c r="A348" s="42" t="s">
        <v>260</v>
      </c>
    </row>
    <row r="349" spans="1:2" x14ac:dyDescent="0.3">
      <c r="A349" s="42" t="s">
        <v>261</v>
      </c>
    </row>
    <row r="350" spans="1:2" x14ac:dyDescent="0.3">
      <c r="A350" s="42" t="s">
        <v>259</v>
      </c>
      <c r="B350" s="4"/>
    </row>
    <row r="352" spans="1:2" x14ac:dyDescent="0.3">
      <c r="A352" s="42" t="s">
        <v>262</v>
      </c>
    </row>
    <row r="353" spans="1:21" x14ac:dyDescent="0.3">
      <c r="A353" s="42" t="s">
        <v>263</v>
      </c>
    </row>
    <row r="354" spans="1:21" x14ac:dyDescent="0.3">
      <c r="A354" s="42" t="s">
        <v>264</v>
      </c>
      <c r="B354" s="4"/>
    </row>
    <row r="356" spans="1:21" x14ac:dyDescent="0.3">
      <c r="A356" s="42" t="s">
        <v>265</v>
      </c>
    </row>
    <row r="357" spans="1:21" x14ac:dyDescent="0.3">
      <c r="A357" s="42" t="s">
        <v>266</v>
      </c>
    </row>
    <row r="358" spans="1:21" x14ac:dyDescent="0.3">
      <c r="A358" s="42" t="s">
        <v>267</v>
      </c>
      <c r="B358" s="4"/>
    </row>
    <row r="361" spans="1:21" x14ac:dyDescent="0.3">
      <c r="A361" s="44" t="s">
        <v>230</v>
      </c>
      <c r="B361" s="40" t="s">
        <v>272</v>
      </c>
      <c r="C361" s="41"/>
      <c r="D361" s="41"/>
      <c r="E361" s="41"/>
      <c r="F361" s="41"/>
      <c r="G361" s="41"/>
      <c r="H361" s="41"/>
      <c r="I361" s="41"/>
      <c r="J361" s="41"/>
      <c r="K361" s="41"/>
      <c r="L361" s="41"/>
      <c r="M361" s="41"/>
      <c r="N361" s="41"/>
      <c r="O361" s="41"/>
      <c r="P361" s="41"/>
      <c r="Q361" s="41"/>
      <c r="R361" s="41"/>
      <c r="S361" s="41"/>
      <c r="T361" s="41"/>
      <c r="U361" s="41"/>
    </row>
    <row r="363" spans="1:21" ht="28.8" x14ac:dyDescent="0.3">
      <c r="B363" s="19" t="s">
        <v>0</v>
      </c>
      <c r="C363" s="33" t="s">
        <v>229</v>
      </c>
      <c r="D363" s="34" t="s">
        <v>231</v>
      </c>
      <c r="E363" s="35" t="s">
        <v>232</v>
      </c>
      <c r="F363" s="38" t="s">
        <v>233</v>
      </c>
      <c r="G363" s="39"/>
      <c r="H363" s="38" t="s">
        <v>234</v>
      </c>
      <c r="I363" s="39"/>
      <c r="J363" s="38" t="s">
        <v>235</v>
      </c>
      <c r="K363" s="39"/>
      <c r="L363" s="39"/>
      <c r="M363" s="39"/>
      <c r="N363" s="38" t="s">
        <v>236</v>
      </c>
      <c r="O363" s="39"/>
      <c r="P363" s="39"/>
      <c r="Q363" s="39"/>
      <c r="R363" s="33" t="s">
        <v>1</v>
      </c>
      <c r="S363" s="15" t="s">
        <v>228</v>
      </c>
      <c r="T363" s="15" t="s">
        <v>2</v>
      </c>
      <c r="U363" s="15" t="s">
        <v>3</v>
      </c>
    </row>
    <row r="364" spans="1:21" x14ac:dyDescent="0.3">
      <c r="B364" s="23" cm="1">
        <f t="array" ref="B364:U366">'2. Master Tire Specs  '!C535:V537</f>
        <v>0</v>
      </c>
      <c r="C364" s="23">
        <v>0</v>
      </c>
      <c r="D364" s="24">
        <v>0</v>
      </c>
      <c r="E364" s="25">
        <v>0</v>
      </c>
      <c r="F364" s="25">
        <v>0</v>
      </c>
      <c r="G364" s="26">
        <v>0</v>
      </c>
      <c r="H364" s="26">
        <v>0</v>
      </c>
      <c r="I364" s="25">
        <v>0</v>
      </c>
      <c r="J364" s="26">
        <v>0</v>
      </c>
      <c r="K364" s="26">
        <v>0</v>
      </c>
      <c r="L364" s="26">
        <v>0</v>
      </c>
      <c r="M364" s="23">
        <v>0</v>
      </c>
      <c r="N364" s="26">
        <v>0</v>
      </c>
      <c r="O364" s="26">
        <v>0</v>
      </c>
      <c r="P364" s="23">
        <v>0</v>
      </c>
      <c r="Q364" s="23">
        <v>0</v>
      </c>
      <c r="R364" s="23">
        <v>0</v>
      </c>
      <c r="S364" s="2">
        <v>0</v>
      </c>
      <c r="T364" s="2">
        <v>0</v>
      </c>
      <c r="U364" s="2">
        <v>0</v>
      </c>
    </row>
    <row r="365" spans="1:21" x14ac:dyDescent="0.3">
      <c r="B365" s="23">
        <v>0</v>
      </c>
      <c r="C365" s="23">
        <v>0</v>
      </c>
      <c r="D365" s="24">
        <v>0</v>
      </c>
      <c r="E365" s="25">
        <v>0</v>
      </c>
      <c r="F365" s="25">
        <v>0</v>
      </c>
      <c r="G365" s="26">
        <v>0</v>
      </c>
      <c r="H365" s="26">
        <v>0</v>
      </c>
      <c r="I365" s="25">
        <v>0</v>
      </c>
      <c r="J365" s="26">
        <v>0</v>
      </c>
      <c r="K365" s="26">
        <v>0</v>
      </c>
      <c r="L365" s="26">
        <v>0</v>
      </c>
      <c r="M365" s="26">
        <v>0</v>
      </c>
      <c r="N365" s="26">
        <v>0</v>
      </c>
      <c r="O365" s="26">
        <v>0</v>
      </c>
      <c r="P365" s="23">
        <v>0</v>
      </c>
      <c r="Q365" s="23">
        <v>0</v>
      </c>
      <c r="R365" s="23">
        <v>0</v>
      </c>
      <c r="S365" s="2">
        <v>0</v>
      </c>
      <c r="T365" s="2">
        <v>0</v>
      </c>
      <c r="U365" s="2">
        <v>0</v>
      </c>
    </row>
    <row r="366" spans="1:21" x14ac:dyDescent="0.3">
      <c r="B366" s="23">
        <v>0</v>
      </c>
      <c r="C366" s="23">
        <v>0</v>
      </c>
      <c r="D366" s="24">
        <v>0</v>
      </c>
      <c r="E366" s="25">
        <v>0</v>
      </c>
      <c r="F366" s="25">
        <v>0</v>
      </c>
      <c r="G366" s="26">
        <v>0</v>
      </c>
      <c r="H366" s="26">
        <v>0</v>
      </c>
      <c r="I366" s="25">
        <v>0</v>
      </c>
      <c r="J366" s="26">
        <v>0</v>
      </c>
      <c r="K366" s="26">
        <v>0</v>
      </c>
      <c r="L366" s="26">
        <v>0</v>
      </c>
      <c r="M366" s="26">
        <v>0</v>
      </c>
      <c r="N366" s="26">
        <v>0</v>
      </c>
      <c r="O366" s="26">
        <v>0</v>
      </c>
      <c r="P366" s="23">
        <v>0</v>
      </c>
      <c r="Q366" s="23">
        <v>0</v>
      </c>
      <c r="R366" s="23">
        <v>0</v>
      </c>
      <c r="S366" s="2">
        <v>0</v>
      </c>
      <c r="T366" s="2">
        <v>0</v>
      </c>
      <c r="U366" s="2">
        <v>0</v>
      </c>
    </row>
    <row r="367" spans="1:21" x14ac:dyDescent="0.3">
      <c r="B367" s="23"/>
      <c r="C367" s="23"/>
      <c r="D367" s="24"/>
      <c r="E367" s="25"/>
      <c r="F367" s="25"/>
      <c r="G367" s="26"/>
      <c r="H367" s="26"/>
      <c r="I367" s="25"/>
      <c r="J367" s="26"/>
      <c r="K367" s="26"/>
      <c r="L367" s="26"/>
      <c r="M367" s="26"/>
      <c r="N367" s="26"/>
      <c r="O367" s="26"/>
      <c r="P367" s="23"/>
      <c r="Q367" s="23"/>
      <c r="R367" s="23"/>
      <c r="S367" s="2"/>
      <c r="T367" s="2"/>
      <c r="U367" s="2"/>
    </row>
    <row r="369" spans="1:2" x14ac:dyDescent="0.3">
      <c r="A369" s="42" t="s">
        <v>245</v>
      </c>
    </row>
    <row r="370" spans="1:2" x14ac:dyDescent="0.3">
      <c r="A370" s="42" t="s">
        <v>239</v>
      </c>
    </row>
    <row r="372" spans="1:2" x14ac:dyDescent="0.3">
      <c r="A372" s="42" t="s">
        <v>258</v>
      </c>
      <c r="B372" s="4"/>
    </row>
    <row r="373" spans="1:2" x14ac:dyDescent="0.3">
      <c r="A373" s="42" t="s">
        <v>252</v>
      </c>
      <c r="B373" s="4"/>
    </row>
    <row r="374" spans="1:2" x14ac:dyDescent="0.3">
      <c r="A374" s="42" t="s">
        <v>269</v>
      </c>
      <c r="B374" s="4"/>
    </row>
    <row r="376" spans="1:2" x14ac:dyDescent="0.3">
      <c r="A376" s="42" t="s">
        <v>268</v>
      </c>
    </row>
    <row r="381" spans="1:2" x14ac:dyDescent="0.3">
      <c r="A381" s="42" t="s">
        <v>260</v>
      </c>
    </row>
    <row r="382" spans="1:2" x14ac:dyDescent="0.3">
      <c r="A382" s="42" t="s">
        <v>261</v>
      </c>
    </row>
    <row r="383" spans="1:2" x14ac:dyDescent="0.3">
      <c r="A383" s="42" t="s">
        <v>259</v>
      </c>
      <c r="B383" s="4"/>
    </row>
    <row r="385" spans="1:21" x14ac:dyDescent="0.3">
      <c r="A385" s="42" t="s">
        <v>262</v>
      </c>
    </row>
    <row r="386" spans="1:21" x14ac:dyDescent="0.3">
      <c r="A386" s="42" t="s">
        <v>263</v>
      </c>
    </row>
    <row r="387" spans="1:21" x14ac:dyDescent="0.3">
      <c r="A387" s="42" t="s">
        <v>264</v>
      </c>
      <c r="B387" s="4"/>
    </row>
    <row r="389" spans="1:21" x14ac:dyDescent="0.3">
      <c r="A389" s="42" t="s">
        <v>265</v>
      </c>
    </row>
    <row r="390" spans="1:21" x14ac:dyDescent="0.3">
      <c r="A390" s="42" t="s">
        <v>266</v>
      </c>
    </row>
    <row r="391" spans="1:21" x14ac:dyDescent="0.3">
      <c r="A391" s="42" t="s">
        <v>267</v>
      </c>
      <c r="B391" s="4"/>
    </row>
    <row r="394" spans="1:21" x14ac:dyDescent="0.3">
      <c r="A394" s="44" t="s">
        <v>230</v>
      </c>
      <c r="B394" s="40" t="s">
        <v>272</v>
      </c>
      <c r="C394" s="41"/>
      <c r="D394" s="41"/>
      <c r="E394" s="41"/>
      <c r="F394" s="41"/>
      <c r="G394" s="41"/>
      <c r="H394" s="41"/>
      <c r="I394" s="41"/>
      <c r="J394" s="41"/>
      <c r="K394" s="41"/>
      <c r="L394" s="41"/>
      <c r="M394" s="41"/>
      <c r="N394" s="41"/>
      <c r="O394" s="41"/>
      <c r="P394" s="41"/>
      <c r="Q394" s="41"/>
      <c r="R394" s="41"/>
      <c r="S394" s="41"/>
      <c r="T394" s="41"/>
      <c r="U394" s="41"/>
    </row>
    <row r="396" spans="1:21" ht="28.8" x14ac:dyDescent="0.3">
      <c r="B396" s="19" t="s">
        <v>0</v>
      </c>
      <c r="C396" s="33" t="s">
        <v>229</v>
      </c>
      <c r="D396" s="34" t="s">
        <v>231</v>
      </c>
      <c r="E396" s="35" t="s">
        <v>232</v>
      </c>
      <c r="F396" s="38" t="s">
        <v>233</v>
      </c>
      <c r="G396" s="39"/>
      <c r="H396" s="38" t="s">
        <v>234</v>
      </c>
      <c r="I396" s="39"/>
      <c r="J396" s="38" t="s">
        <v>235</v>
      </c>
      <c r="K396" s="39"/>
      <c r="L396" s="39"/>
      <c r="M396" s="39"/>
      <c r="N396" s="38" t="s">
        <v>236</v>
      </c>
      <c r="O396" s="39"/>
      <c r="P396" s="39"/>
      <c r="Q396" s="39"/>
      <c r="R396" s="33" t="s">
        <v>1</v>
      </c>
      <c r="S396" s="15" t="s">
        <v>228</v>
      </c>
      <c r="T396" s="15" t="s">
        <v>2</v>
      </c>
      <c r="U396" s="15" t="s">
        <v>3</v>
      </c>
    </row>
    <row r="397" spans="1:21" x14ac:dyDescent="0.3">
      <c r="B397" s="23" cm="1">
        <f t="array" ref="B397:U399">'2. Master Tire Specs  '!C568:V570</f>
        <v>0</v>
      </c>
      <c r="C397" s="23">
        <v>0</v>
      </c>
      <c r="D397" s="24">
        <v>0</v>
      </c>
      <c r="E397" s="25">
        <v>0</v>
      </c>
      <c r="F397" s="25">
        <v>0</v>
      </c>
      <c r="G397" s="26">
        <v>0</v>
      </c>
      <c r="H397" s="26">
        <v>0</v>
      </c>
      <c r="I397" s="25">
        <v>0</v>
      </c>
      <c r="J397" s="26">
        <v>0</v>
      </c>
      <c r="K397" s="26">
        <v>0</v>
      </c>
      <c r="L397" s="26">
        <v>0</v>
      </c>
      <c r="M397" s="23">
        <v>0</v>
      </c>
      <c r="N397" s="26">
        <v>0</v>
      </c>
      <c r="O397" s="26">
        <v>0</v>
      </c>
      <c r="P397" s="23">
        <v>0</v>
      </c>
      <c r="Q397" s="23">
        <v>0</v>
      </c>
      <c r="R397" s="23">
        <v>0</v>
      </c>
      <c r="S397" s="2">
        <v>0</v>
      </c>
      <c r="T397" s="2">
        <v>0</v>
      </c>
      <c r="U397" s="2">
        <v>0</v>
      </c>
    </row>
    <row r="398" spans="1:21" x14ac:dyDescent="0.3">
      <c r="B398" s="23">
        <v>0</v>
      </c>
      <c r="C398" s="23">
        <v>0</v>
      </c>
      <c r="D398" s="24">
        <v>0</v>
      </c>
      <c r="E398" s="25">
        <v>0</v>
      </c>
      <c r="F398" s="25">
        <v>0</v>
      </c>
      <c r="G398" s="26">
        <v>0</v>
      </c>
      <c r="H398" s="26">
        <v>0</v>
      </c>
      <c r="I398" s="25">
        <v>0</v>
      </c>
      <c r="J398" s="26">
        <v>0</v>
      </c>
      <c r="K398" s="26">
        <v>0</v>
      </c>
      <c r="L398" s="26">
        <v>0</v>
      </c>
      <c r="M398" s="26">
        <v>0</v>
      </c>
      <c r="N398" s="26">
        <v>0</v>
      </c>
      <c r="O398" s="26">
        <v>0</v>
      </c>
      <c r="P398" s="23">
        <v>0</v>
      </c>
      <c r="Q398" s="23">
        <v>0</v>
      </c>
      <c r="R398" s="23">
        <v>0</v>
      </c>
      <c r="S398" s="2">
        <v>0</v>
      </c>
      <c r="T398" s="2">
        <v>0</v>
      </c>
      <c r="U398" s="2">
        <v>0</v>
      </c>
    </row>
    <row r="399" spans="1:21" x14ac:dyDescent="0.3">
      <c r="B399" s="23">
        <v>0</v>
      </c>
      <c r="C399" s="23">
        <v>0</v>
      </c>
      <c r="D399" s="24">
        <v>0</v>
      </c>
      <c r="E399" s="25">
        <v>0</v>
      </c>
      <c r="F399" s="25">
        <v>0</v>
      </c>
      <c r="G399" s="26">
        <v>0</v>
      </c>
      <c r="H399" s="26">
        <v>0</v>
      </c>
      <c r="I399" s="25">
        <v>0</v>
      </c>
      <c r="J399" s="26">
        <v>0</v>
      </c>
      <c r="K399" s="26">
        <v>0</v>
      </c>
      <c r="L399" s="26">
        <v>0</v>
      </c>
      <c r="M399" s="26">
        <v>0</v>
      </c>
      <c r="N399" s="26">
        <v>0</v>
      </c>
      <c r="O399" s="26">
        <v>0</v>
      </c>
      <c r="P399" s="23">
        <v>0</v>
      </c>
      <c r="Q399" s="23">
        <v>0</v>
      </c>
      <c r="R399" s="23">
        <v>0</v>
      </c>
      <c r="S399" s="2">
        <v>0</v>
      </c>
      <c r="T399" s="2">
        <v>0</v>
      </c>
      <c r="U399" s="2">
        <v>0</v>
      </c>
    </row>
    <row r="400" spans="1:21" x14ac:dyDescent="0.3">
      <c r="B400" s="23"/>
      <c r="C400" s="23"/>
      <c r="D400" s="24"/>
      <c r="E400" s="25"/>
      <c r="F400" s="25"/>
      <c r="G400" s="26"/>
      <c r="H400" s="26"/>
      <c r="I400" s="25"/>
      <c r="J400" s="26"/>
      <c r="K400" s="26"/>
      <c r="L400" s="26"/>
      <c r="M400" s="26"/>
      <c r="N400" s="26"/>
      <c r="O400" s="26"/>
      <c r="P400" s="23"/>
      <c r="Q400" s="23"/>
      <c r="R400" s="23"/>
      <c r="S400" s="2"/>
      <c r="T400" s="2"/>
      <c r="U400" s="2"/>
    </row>
    <row r="402" spans="1:2" x14ac:dyDescent="0.3">
      <c r="A402" s="42" t="s">
        <v>245</v>
      </c>
    </row>
    <row r="403" spans="1:2" x14ac:dyDescent="0.3">
      <c r="A403" s="42" t="s">
        <v>239</v>
      </c>
    </row>
    <row r="405" spans="1:2" x14ac:dyDescent="0.3">
      <c r="A405" s="42" t="s">
        <v>258</v>
      </c>
      <c r="B405" s="4"/>
    </row>
    <row r="406" spans="1:2" x14ac:dyDescent="0.3">
      <c r="A406" s="42" t="s">
        <v>252</v>
      </c>
      <c r="B406" s="4"/>
    </row>
    <row r="407" spans="1:2" x14ac:dyDescent="0.3">
      <c r="A407" s="42" t="s">
        <v>269</v>
      </c>
      <c r="B407" s="4"/>
    </row>
    <row r="409" spans="1:2" x14ac:dyDescent="0.3">
      <c r="A409" s="42" t="s">
        <v>268</v>
      </c>
    </row>
    <row r="414" spans="1:2" x14ac:dyDescent="0.3">
      <c r="A414" s="42" t="s">
        <v>260</v>
      </c>
    </row>
    <row r="415" spans="1:2" x14ac:dyDescent="0.3">
      <c r="A415" s="42" t="s">
        <v>261</v>
      </c>
    </row>
    <row r="416" spans="1:2" x14ac:dyDescent="0.3">
      <c r="A416" s="42" t="s">
        <v>259</v>
      </c>
      <c r="B416" s="4"/>
    </row>
    <row r="418" spans="1:21" x14ac:dyDescent="0.3">
      <c r="A418" s="42" t="s">
        <v>262</v>
      </c>
    </row>
    <row r="419" spans="1:21" x14ac:dyDescent="0.3">
      <c r="A419" s="42" t="s">
        <v>263</v>
      </c>
    </row>
    <row r="420" spans="1:21" x14ac:dyDescent="0.3">
      <c r="A420" s="42" t="s">
        <v>264</v>
      </c>
      <c r="B420" s="4"/>
    </row>
    <row r="422" spans="1:21" x14ac:dyDescent="0.3">
      <c r="A422" s="42" t="s">
        <v>265</v>
      </c>
    </row>
    <row r="423" spans="1:21" x14ac:dyDescent="0.3">
      <c r="A423" s="42" t="s">
        <v>266</v>
      </c>
    </row>
    <row r="424" spans="1:21" x14ac:dyDescent="0.3">
      <c r="A424" s="42" t="s">
        <v>267</v>
      </c>
      <c r="B424" s="4"/>
    </row>
    <row r="426" spans="1:21" x14ac:dyDescent="0.3">
      <c r="A426" s="44" t="s">
        <v>230</v>
      </c>
      <c r="B426" s="40" t="s">
        <v>272</v>
      </c>
      <c r="C426" s="41"/>
      <c r="D426" s="41"/>
      <c r="E426" s="41"/>
      <c r="F426" s="41"/>
      <c r="G426" s="41"/>
      <c r="H426" s="41"/>
      <c r="I426" s="41"/>
      <c r="J426" s="41"/>
      <c r="K426" s="41"/>
      <c r="L426" s="41"/>
      <c r="M426" s="41"/>
      <c r="N426" s="41"/>
      <c r="O426" s="41"/>
      <c r="P426" s="41"/>
      <c r="Q426" s="41"/>
      <c r="R426" s="41"/>
      <c r="S426" s="41"/>
      <c r="T426" s="41"/>
      <c r="U426" s="41"/>
    </row>
    <row r="428" spans="1:21" ht="28.8" x14ac:dyDescent="0.3">
      <c r="B428" s="19" t="s">
        <v>0</v>
      </c>
      <c r="C428" s="33" t="s">
        <v>229</v>
      </c>
      <c r="D428" s="34" t="s">
        <v>231</v>
      </c>
      <c r="E428" s="35" t="s">
        <v>232</v>
      </c>
      <c r="F428" s="38" t="s">
        <v>233</v>
      </c>
      <c r="G428" s="39"/>
      <c r="H428" s="38" t="s">
        <v>234</v>
      </c>
      <c r="I428" s="39"/>
      <c r="J428" s="38" t="s">
        <v>235</v>
      </c>
      <c r="K428" s="39"/>
      <c r="L428" s="39"/>
      <c r="M428" s="39"/>
      <c r="N428" s="38" t="s">
        <v>236</v>
      </c>
      <c r="O428" s="39"/>
      <c r="P428" s="39"/>
      <c r="Q428" s="39"/>
      <c r="R428" s="33" t="s">
        <v>1</v>
      </c>
      <c r="S428" s="15" t="s">
        <v>228</v>
      </c>
      <c r="T428" s="15" t="s">
        <v>2</v>
      </c>
      <c r="U428" s="15" t="s">
        <v>3</v>
      </c>
    </row>
    <row r="429" spans="1:21" x14ac:dyDescent="0.3">
      <c r="B429" s="23" cm="1">
        <f t="array" ref="B429:U431">'2. Master Tire Specs  '!C600:V602</f>
        <v>0</v>
      </c>
      <c r="C429" s="23">
        <v>0</v>
      </c>
      <c r="D429" s="24">
        <v>0</v>
      </c>
      <c r="E429" s="25">
        <v>0</v>
      </c>
      <c r="F429" s="25">
        <v>0</v>
      </c>
      <c r="G429" s="26">
        <v>0</v>
      </c>
      <c r="H429" s="26">
        <v>0</v>
      </c>
      <c r="I429" s="25">
        <v>0</v>
      </c>
      <c r="J429" s="26">
        <v>0</v>
      </c>
      <c r="K429" s="26">
        <v>0</v>
      </c>
      <c r="L429" s="26">
        <v>0</v>
      </c>
      <c r="M429" s="23">
        <v>0</v>
      </c>
      <c r="N429" s="26">
        <v>0</v>
      </c>
      <c r="O429" s="26">
        <v>0</v>
      </c>
      <c r="P429" s="23">
        <v>0</v>
      </c>
      <c r="Q429" s="23">
        <v>0</v>
      </c>
      <c r="R429" s="23">
        <v>0</v>
      </c>
      <c r="S429" s="2">
        <v>0</v>
      </c>
      <c r="T429" s="2">
        <v>0</v>
      </c>
      <c r="U429" s="2">
        <v>0</v>
      </c>
    </row>
    <row r="430" spans="1:21" x14ac:dyDescent="0.3">
      <c r="B430" s="23">
        <v>0</v>
      </c>
      <c r="C430" s="23">
        <v>0</v>
      </c>
      <c r="D430" s="24">
        <v>0</v>
      </c>
      <c r="E430" s="25">
        <v>0</v>
      </c>
      <c r="F430" s="25">
        <v>0</v>
      </c>
      <c r="G430" s="26">
        <v>0</v>
      </c>
      <c r="H430" s="26">
        <v>0</v>
      </c>
      <c r="I430" s="25">
        <v>0</v>
      </c>
      <c r="J430" s="26">
        <v>0</v>
      </c>
      <c r="K430" s="26">
        <v>0</v>
      </c>
      <c r="L430" s="26">
        <v>0</v>
      </c>
      <c r="M430" s="26">
        <v>0</v>
      </c>
      <c r="N430" s="26">
        <v>0</v>
      </c>
      <c r="O430" s="26">
        <v>0</v>
      </c>
      <c r="P430" s="23">
        <v>0</v>
      </c>
      <c r="Q430" s="23">
        <v>0</v>
      </c>
      <c r="R430" s="23">
        <v>0</v>
      </c>
      <c r="S430" s="2">
        <v>0</v>
      </c>
      <c r="T430" s="2">
        <v>0</v>
      </c>
      <c r="U430" s="2">
        <v>0</v>
      </c>
    </row>
    <row r="431" spans="1:21" x14ac:dyDescent="0.3">
      <c r="B431" s="23">
        <v>0</v>
      </c>
      <c r="C431" s="23">
        <v>0</v>
      </c>
      <c r="D431" s="24">
        <v>0</v>
      </c>
      <c r="E431" s="25">
        <v>0</v>
      </c>
      <c r="F431" s="25">
        <v>0</v>
      </c>
      <c r="G431" s="26">
        <v>0</v>
      </c>
      <c r="H431" s="26">
        <v>0</v>
      </c>
      <c r="I431" s="25">
        <v>0</v>
      </c>
      <c r="J431" s="26">
        <v>0</v>
      </c>
      <c r="K431" s="26">
        <v>0</v>
      </c>
      <c r="L431" s="26">
        <v>0</v>
      </c>
      <c r="M431" s="26">
        <v>0</v>
      </c>
      <c r="N431" s="26">
        <v>0</v>
      </c>
      <c r="O431" s="26">
        <v>0</v>
      </c>
      <c r="P431" s="23">
        <v>0</v>
      </c>
      <c r="Q431" s="23">
        <v>0</v>
      </c>
      <c r="R431" s="23">
        <v>0</v>
      </c>
      <c r="S431" s="2">
        <v>0</v>
      </c>
      <c r="T431" s="2">
        <v>0</v>
      </c>
      <c r="U431" s="2">
        <v>0</v>
      </c>
    </row>
    <row r="432" spans="1:21" x14ac:dyDescent="0.3">
      <c r="B432" s="23"/>
      <c r="C432" s="23"/>
      <c r="D432" s="24"/>
      <c r="E432" s="25"/>
      <c r="F432" s="25"/>
      <c r="G432" s="26"/>
      <c r="H432" s="26"/>
      <c r="I432" s="25"/>
      <c r="J432" s="26"/>
      <c r="K432" s="26"/>
      <c r="L432" s="26"/>
      <c r="M432" s="26"/>
      <c r="N432" s="26"/>
      <c r="O432" s="26"/>
      <c r="P432" s="23"/>
      <c r="Q432" s="23"/>
      <c r="R432" s="23"/>
      <c r="S432" s="2"/>
      <c r="T432" s="2"/>
      <c r="U432" s="2"/>
    </row>
    <row r="434" spans="1:2" x14ac:dyDescent="0.3">
      <c r="A434" s="42" t="s">
        <v>245</v>
      </c>
    </row>
    <row r="435" spans="1:2" x14ac:dyDescent="0.3">
      <c r="A435" s="42" t="s">
        <v>239</v>
      </c>
    </row>
    <row r="437" spans="1:2" x14ac:dyDescent="0.3">
      <c r="A437" s="42" t="s">
        <v>258</v>
      </c>
      <c r="B437" s="4"/>
    </row>
    <row r="438" spans="1:2" x14ac:dyDescent="0.3">
      <c r="A438" s="42" t="s">
        <v>252</v>
      </c>
      <c r="B438" s="4"/>
    </row>
    <row r="439" spans="1:2" x14ac:dyDescent="0.3">
      <c r="A439" s="42" t="s">
        <v>269</v>
      </c>
      <c r="B439" s="4"/>
    </row>
    <row r="441" spans="1:2" x14ac:dyDescent="0.3">
      <c r="A441" s="42" t="s">
        <v>268</v>
      </c>
    </row>
    <row r="446" spans="1:2" x14ac:dyDescent="0.3">
      <c r="A446" s="42" t="s">
        <v>260</v>
      </c>
    </row>
    <row r="447" spans="1:2" x14ac:dyDescent="0.3">
      <c r="A447" s="42" t="s">
        <v>261</v>
      </c>
    </row>
    <row r="448" spans="1:2" x14ac:dyDescent="0.3">
      <c r="A448" s="42" t="s">
        <v>259</v>
      </c>
      <c r="B448" s="4"/>
    </row>
    <row r="450" spans="1:21" x14ac:dyDescent="0.3">
      <c r="A450" s="42" t="s">
        <v>262</v>
      </c>
    </row>
    <row r="451" spans="1:21" x14ac:dyDescent="0.3">
      <c r="A451" s="42" t="s">
        <v>263</v>
      </c>
    </row>
    <row r="452" spans="1:21" x14ac:dyDescent="0.3">
      <c r="A452" s="42" t="s">
        <v>264</v>
      </c>
      <c r="B452" s="4"/>
    </row>
    <row r="454" spans="1:21" x14ac:dyDescent="0.3">
      <c r="A454" s="42" t="s">
        <v>265</v>
      </c>
    </row>
    <row r="455" spans="1:21" x14ac:dyDescent="0.3">
      <c r="A455" s="42" t="s">
        <v>266</v>
      </c>
    </row>
    <row r="456" spans="1:21" x14ac:dyDescent="0.3">
      <c r="A456" s="42" t="s">
        <v>267</v>
      </c>
      <c r="B456" s="4"/>
    </row>
    <row r="459" spans="1:21" x14ac:dyDescent="0.3">
      <c r="A459" s="44" t="s">
        <v>230</v>
      </c>
      <c r="B459" s="40" t="s">
        <v>272</v>
      </c>
      <c r="C459" s="41"/>
      <c r="D459" s="41"/>
      <c r="E459" s="41"/>
      <c r="F459" s="41"/>
      <c r="G459" s="41"/>
      <c r="H459" s="41"/>
      <c r="I459" s="41"/>
      <c r="J459" s="41"/>
      <c r="K459" s="41"/>
      <c r="L459" s="41"/>
      <c r="M459" s="41"/>
      <c r="N459" s="41"/>
      <c r="O459" s="41"/>
      <c r="P459" s="41"/>
      <c r="Q459" s="41"/>
      <c r="R459" s="41"/>
      <c r="S459" s="41"/>
      <c r="T459" s="41"/>
      <c r="U459" s="41"/>
    </row>
    <row r="461" spans="1:21" ht="28.8" x14ac:dyDescent="0.3">
      <c r="B461" s="19" t="s">
        <v>0</v>
      </c>
      <c r="C461" s="33" t="s">
        <v>229</v>
      </c>
      <c r="D461" s="34" t="s">
        <v>231</v>
      </c>
      <c r="E461" s="35" t="s">
        <v>232</v>
      </c>
      <c r="F461" s="38" t="s">
        <v>233</v>
      </c>
      <c r="G461" s="39"/>
      <c r="H461" s="38" t="s">
        <v>234</v>
      </c>
      <c r="I461" s="39"/>
      <c r="J461" s="38" t="s">
        <v>235</v>
      </c>
      <c r="K461" s="39"/>
      <c r="L461" s="39"/>
      <c r="M461" s="39"/>
      <c r="N461" s="38" t="s">
        <v>236</v>
      </c>
      <c r="O461" s="39"/>
      <c r="P461" s="39"/>
      <c r="Q461" s="39"/>
      <c r="R461" s="33" t="s">
        <v>1</v>
      </c>
      <c r="S461" s="15" t="s">
        <v>228</v>
      </c>
      <c r="T461" s="15" t="s">
        <v>2</v>
      </c>
      <c r="U461" s="15" t="s">
        <v>3</v>
      </c>
    </row>
    <row r="462" spans="1:21" x14ac:dyDescent="0.3">
      <c r="B462" s="23" cm="1">
        <f t="array" ref="B462:U464">'2. Master Tire Specs  '!C633:V635</f>
        <v>0</v>
      </c>
      <c r="C462" s="23">
        <v>0</v>
      </c>
      <c r="D462" s="24">
        <v>0</v>
      </c>
      <c r="E462" s="25">
        <v>0</v>
      </c>
      <c r="F462" s="25">
        <v>0</v>
      </c>
      <c r="G462" s="26">
        <v>0</v>
      </c>
      <c r="H462" s="26">
        <v>0</v>
      </c>
      <c r="I462" s="25">
        <v>0</v>
      </c>
      <c r="J462" s="26">
        <v>0</v>
      </c>
      <c r="K462" s="26">
        <v>0</v>
      </c>
      <c r="L462" s="26">
        <v>0</v>
      </c>
      <c r="M462" s="23">
        <v>0</v>
      </c>
      <c r="N462" s="26">
        <v>0</v>
      </c>
      <c r="O462" s="26">
        <v>0</v>
      </c>
      <c r="P462" s="23">
        <v>0</v>
      </c>
      <c r="Q462" s="23">
        <v>0</v>
      </c>
      <c r="R462" s="23">
        <v>0</v>
      </c>
      <c r="S462" s="2">
        <v>0</v>
      </c>
      <c r="T462" s="2">
        <v>0</v>
      </c>
      <c r="U462" s="2">
        <v>0</v>
      </c>
    </row>
    <row r="463" spans="1:21" x14ac:dyDescent="0.3">
      <c r="B463" s="23">
        <v>0</v>
      </c>
      <c r="C463" s="23">
        <v>0</v>
      </c>
      <c r="D463" s="24">
        <v>0</v>
      </c>
      <c r="E463" s="25">
        <v>0</v>
      </c>
      <c r="F463" s="25">
        <v>0</v>
      </c>
      <c r="G463" s="26">
        <v>0</v>
      </c>
      <c r="H463" s="26">
        <v>0</v>
      </c>
      <c r="I463" s="25">
        <v>0</v>
      </c>
      <c r="J463" s="26">
        <v>0</v>
      </c>
      <c r="K463" s="26">
        <v>0</v>
      </c>
      <c r="L463" s="26">
        <v>0</v>
      </c>
      <c r="M463" s="26">
        <v>0</v>
      </c>
      <c r="N463" s="26">
        <v>0</v>
      </c>
      <c r="O463" s="26">
        <v>0</v>
      </c>
      <c r="P463" s="23">
        <v>0</v>
      </c>
      <c r="Q463" s="23">
        <v>0</v>
      </c>
      <c r="R463" s="23">
        <v>0</v>
      </c>
      <c r="S463" s="2">
        <v>0</v>
      </c>
      <c r="T463" s="2">
        <v>0</v>
      </c>
      <c r="U463" s="2">
        <v>0</v>
      </c>
    </row>
    <row r="464" spans="1:21" x14ac:dyDescent="0.3">
      <c r="B464" s="23">
        <v>0</v>
      </c>
      <c r="C464" s="23">
        <v>0</v>
      </c>
      <c r="D464" s="24">
        <v>0</v>
      </c>
      <c r="E464" s="25">
        <v>0</v>
      </c>
      <c r="F464" s="25">
        <v>0</v>
      </c>
      <c r="G464" s="26">
        <v>0</v>
      </c>
      <c r="H464" s="26">
        <v>0</v>
      </c>
      <c r="I464" s="25">
        <v>0</v>
      </c>
      <c r="J464" s="26">
        <v>0</v>
      </c>
      <c r="K464" s="26">
        <v>0</v>
      </c>
      <c r="L464" s="26">
        <v>0</v>
      </c>
      <c r="M464" s="26">
        <v>0</v>
      </c>
      <c r="N464" s="26">
        <v>0</v>
      </c>
      <c r="O464" s="26">
        <v>0</v>
      </c>
      <c r="P464" s="23">
        <v>0</v>
      </c>
      <c r="Q464" s="23">
        <v>0</v>
      </c>
      <c r="R464" s="23">
        <v>0</v>
      </c>
      <c r="S464" s="2">
        <v>0</v>
      </c>
      <c r="T464" s="2">
        <v>0</v>
      </c>
      <c r="U464" s="2">
        <v>0</v>
      </c>
    </row>
    <row r="465" spans="1:21" x14ac:dyDescent="0.3">
      <c r="B465" s="23"/>
      <c r="C465" s="23"/>
      <c r="D465" s="24"/>
      <c r="E465" s="25"/>
      <c r="F465" s="25"/>
      <c r="G465" s="26"/>
      <c r="H465" s="26"/>
      <c r="I465" s="25"/>
      <c r="J465" s="26"/>
      <c r="K465" s="26"/>
      <c r="L465" s="26"/>
      <c r="M465" s="26"/>
      <c r="N465" s="26"/>
      <c r="O465" s="26"/>
      <c r="P465" s="23"/>
      <c r="Q465" s="23"/>
      <c r="R465" s="23"/>
      <c r="S465" s="2"/>
      <c r="T465" s="2"/>
      <c r="U465" s="2"/>
    </row>
    <row r="467" spans="1:21" x14ac:dyDescent="0.3">
      <c r="A467" s="42" t="s">
        <v>245</v>
      </c>
    </row>
    <row r="468" spans="1:21" x14ac:dyDescent="0.3">
      <c r="A468" s="42" t="s">
        <v>239</v>
      </c>
    </row>
    <row r="470" spans="1:21" x14ac:dyDescent="0.3">
      <c r="A470" s="42" t="s">
        <v>258</v>
      </c>
      <c r="B470" s="4"/>
    </row>
    <row r="471" spans="1:21" x14ac:dyDescent="0.3">
      <c r="A471" s="42" t="s">
        <v>252</v>
      </c>
      <c r="B471" s="4"/>
    </row>
    <row r="472" spans="1:21" x14ac:dyDescent="0.3">
      <c r="A472" s="42" t="s">
        <v>269</v>
      </c>
      <c r="B472" s="4"/>
    </row>
    <row r="474" spans="1:21" x14ac:dyDescent="0.3">
      <c r="A474" s="42" t="s">
        <v>268</v>
      </c>
    </row>
    <row r="479" spans="1:21" x14ac:dyDescent="0.3">
      <c r="A479" s="42" t="s">
        <v>260</v>
      </c>
    </row>
    <row r="480" spans="1:21" x14ac:dyDescent="0.3">
      <c r="A480" s="42" t="s">
        <v>261</v>
      </c>
    </row>
    <row r="481" spans="1:21" x14ac:dyDescent="0.3">
      <c r="A481" s="42" t="s">
        <v>259</v>
      </c>
      <c r="B481" s="4"/>
    </row>
    <row r="483" spans="1:21" x14ac:dyDescent="0.3">
      <c r="A483" s="42" t="s">
        <v>262</v>
      </c>
    </row>
    <row r="484" spans="1:21" x14ac:dyDescent="0.3">
      <c r="A484" s="42" t="s">
        <v>263</v>
      </c>
    </row>
    <row r="485" spans="1:21" x14ac:dyDescent="0.3">
      <c r="A485" s="42" t="s">
        <v>264</v>
      </c>
      <c r="B485" s="4"/>
    </row>
    <row r="487" spans="1:21" x14ac:dyDescent="0.3">
      <c r="A487" s="42" t="s">
        <v>265</v>
      </c>
    </row>
    <row r="488" spans="1:21" x14ac:dyDescent="0.3">
      <c r="A488" s="42" t="s">
        <v>266</v>
      </c>
    </row>
    <row r="489" spans="1:21" x14ac:dyDescent="0.3">
      <c r="A489" s="42" t="s">
        <v>267</v>
      </c>
      <c r="B489" s="4"/>
    </row>
    <row r="491" spans="1:21" x14ac:dyDescent="0.3">
      <c r="A491" s="44" t="s">
        <v>230</v>
      </c>
      <c r="B491" s="40" t="s">
        <v>272</v>
      </c>
      <c r="C491" s="41"/>
      <c r="D491" s="41"/>
      <c r="E491" s="41"/>
      <c r="F491" s="41"/>
      <c r="G491" s="41"/>
      <c r="H491" s="41"/>
      <c r="I491" s="41"/>
      <c r="J491" s="41"/>
      <c r="K491" s="41"/>
      <c r="L491" s="41"/>
      <c r="M491" s="41"/>
      <c r="N491" s="41"/>
      <c r="O491" s="41"/>
      <c r="P491" s="41"/>
      <c r="Q491" s="41"/>
      <c r="R491" s="41"/>
      <c r="S491" s="41"/>
      <c r="T491" s="41"/>
      <c r="U491" s="41"/>
    </row>
    <row r="493" spans="1:21" ht="28.8" x14ac:dyDescent="0.3">
      <c r="B493" s="19" t="s">
        <v>0</v>
      </c>
      <c r="C493" s="33" t="s">
        <v>229</v>
      </c>
      <c r="D493" s="34" t="s">
        <v>231</v>
      </c>
      <c r="E493" s="35" t="s">
        <v>232</v>
      </c>
      <c r="F493" s="38" t="s">
        <v>233</v>
      </c>
      <c r="G493" s="39"/>
      <c r="H493" s="38" t="s">
        <v>234</v>
      </c>
      <c r="I493" s="39"/>
      <c r="J493" s="38" t="s">
        <v>235</v>
      </c>
      <c r="K493" s="39"/>
      <c r="L493" s="39"/>
      <c r="M493" s="39"/>
      <c r="N493" s="38" t="s">
        <v>236</v>
      </c>
      <c r="O493" s="39"/>
      <c r="P493" s="39"/>
      <c r="Q493" s="39"/>
      <c r="R493" s="33" t="s">
        <v>1</v>
      </c>
      <c r="S493" s="15" t="s">
        <v>228</v>
      </c>
      <c r="T493" s="15" t="s">
        <v>2</v>
      </c>
      <c r="U493" s="15" t="s">
        <v>3</v>
      </c>
    </row>
    <row r="494" spans="1:21" x14ac:dyDescent="0.3">
      <c r="B494" s="23" cm="1">
        <f t="array" ref="B494:U496">'2. Master Tire Specs  '!C665:V667</f>
        <v>0</v>
      </c>
      <c r="C494" s="23">
        <v>0</v>
      </c>
      <c r="D494" s="24">
        <v>0</v>
      </c>
      <c r="E494" s="25">
        <v>0</v>
      </c>
      <c r="F494" s="25">
        <v>0</v>
      </c>
      <c r="G494" s="26">
        <v>0</v>
      </c>
      <c r="H494" s="26">
        <v>0</v>
      </c>
      <c r="I494" s="25">
        <v>0</v>
      </c>
      <c r="J494" s="26">
        <v>0</v>
      </c>
      <c r="K494" s="26">
        <v>0</v>
      </c>
      <c r="L494" s="26">
        <v>0</v>
      </c>
      <c r="M494" s="23">
        <v>0</v>
      </c>
      <c r="N494" s="26">
        <v>0</v>
      </c>
      <c r="O494" s="26">
        <v>0</v>
      </c>
      <c r="P494" s="23">
        <v>0</v>
      </c>
      <c r="Q494" s="23">
        <v>0</v>
      </c>
      <c r="R494" s="23">
        <v>0</v>
      </c>
      <c r="S494" s="2">
        <v>0</v>
      </c>
      <c r="T494" s="2">
        <v>0</v>
      </c>
      <c r="U494" s="2">
        <v>0</v>
      </c>
    </row>
    <row r="495" spans="1:21" x14ac:dyDescent="0.3">
      <c r="B495" s="23">
        <v>0</v>
      </c>
      <c r="C495" s="23">
        <v>0</v>
      </c>
      <c r="D495" s="24">
        <v>0</v>
      </c>
      <c r="E495" s="25">
        <v>0</v>
      </c>
      <c r="F495" s="25">
        <v>0</v>
      </c>
      <c r="G495" s="26">
        <v>0</v>
      </c>
      <c r="H495" s="26">
        <v>0</v>
      </c>
      <c r="I495" s="25">
        <v>0</v>
      </c>
      <c r="J495" s="26">
        <v>0</v>
      </c>
      <c r="K495" s="26">
        <v>0</v>
      </c>
      <c r="L495" s="26">
        <v>0</v>
      </c>
      <c r="M495" s="26">
        <v>0</v>
      </c>
      <c r="N495" s="26">
        <v>0</v>
      </c>
      <c r="O495" s="26">
        <v>0</v>
      </c>
      <c r="P495" s="23">
        <v>0</v>
      </c>
      <c r="Q495" s="23">
        <v>0</v>
      </c>
      <c r="R495" s="23">
        <v>0</v>
      </c>
      <c r="S495" s="2">
        <v>0</v>
      </c>
      <c r="T495" s="2">
        <v>0</v>
      </c>
      <c r="U495" s="2">
        <v>0</v>
      </c>
    </row>
    <row r="496" spans="1:21" x14ac:dyDescent="0.3">
      <c r="B496" s="23">
        <v>0</v>
      </c>
      <c r="C496" s="23">
        <v>0</v>
      </c>
      <c r="D496" s="24">
        <v>0</v>
      </c>
      <c r="E496" s="25">
        <v>0</v>
      </c>
      <c r="F496" s="25">
        <v>0</v>
      </c>
      <c r="G496" s="26">
        <v>0</v>
      </c>
      <c r="H496" s="26">
        <v>0</v>
      </c>
      <c r="I496" s="25">
        <v>0</v>
      </c>
      <c r="J496" s="26">
        <v>0</v>
      </c>
      <c r="K496" s="26">
        <v>0</v>
      </c>
      <c r="L496" s="26">
        <v>0</v>
      </c>
      <c r="M496" s="26">
        <v>0</v>
      </c>
      <c r="N496" s="26">
        <v>0</v>
      </c>
      <c r="O496" s="26">
        <v>0</v>
      </c>
      <c r="P496" s="23">
        <v>0</v>
      </c>
      <c r="Q496" s="23">
        <v>0</v>
      </c>
      <c r="R496" s="23">
        <v>0</v>
      </c>
      <c r="S496" s="2">
        <v>0</v>
      </c>
      <c r="T496" s="2">
        <v>0</v>
      </c>
      <c r="U496" s="2">
        <v>0</v>
      </c>
    </row>
    <row r="497" spans="1:21" x14ac:dyDescent="0.3">
      <c r="B497" s="23"/>
      <c r="C497" s="23"/>
      <c r="D497" s="24"/>
      <c r="E497" s="25"/>
      <c r="F497" s="25"/>
      <c r="G497" s="26"/>
      <c r="H497" s="26"/>
      <c r="I497" s="25"/>
      <c r="J497" s="26"/>
      <c r="K497" s="26"/>
      <c r="L497" s="26"/>
      <c r="M497" s="26"/>
      <c r="N497" s="26"/>
      <c r="O497" s="26"/>
      <c r="P497" s="23"/>
      <c r="Q497" s="23"/>
      <c r="R497" s="23"/>
      <c r="S497" s="2"/>
      <c r="T497" s="2"/>
      <c r="U497" s="2"/>
    </row>
    <row r="499" spans="1:21" x14ac:dyDescent="0.3">
      <c r="A499" s="42" t="s">
        <v>245</v>
      </c>
    </row>
    <row r="500" spans="1:21" x14ac:dyDescent="0.3">
      <c r="A500" s="42" t="s">
        <v>239</v>
      </c>
    </row>
    <row r="502" spans="1:21" x14ac:dyDescent="0.3">
      <c r="A502" s="42" t="s">
        <v>258</v>
      </c>
      <c r="B502" s="4"/>
    </row>
    <row r="503" spans="1:21" x14ac:dyDescent="0.3">
      <c r="A503" s="42" t="s">
        <v>252</v>
      </c>
      <c r="B503" s="4"/>
    </row>
    <row r="504" spans="1:21" x14ac:dyDescent="0.3">
      <c r="A504" s="42" t="s">
        <v>269</v>
      </c>
      <c r="B504" s="4"/>
    </row>
    <row r="506" spans="1:21" x14ac:dyDescent="0.3">
      <c r="A506" s="42" t="s">
        <v>268</v>
      </c>
    </row>
    <row r="511" spans="1:21" x14ac:dyDescent="0.3">
      <c r="A511" s="42" t="s">
        <v>260</v>
      </c>
    </row>
    <row r="512" spans="1:21" x14ac:dyDescent="0.3">
      <c r="A512" s="42" t="s">
        <v>261</v>
      </c>
    </row>
    <row r="513" spans="1:21" x14ac:dyDescent="0.3">
      <c r="A513" s="42" t="s">
        <v>259</v>
      </c>
      <c r="B513" s="4"/>
    </row>
    <row r="515" spans="1:21" x14ac:dyDescent="0.3">
      <c r="A515" s="42" t="s">
        <v>262</v>
      </c>
    </row>
    <row r="516" spans="1:21" x14ac:dyDescent="0.3">
      <c r="A516" s="42" t="s">
        <v>263</v>
      </c>
    </row>
    <row r="517" spans="1:21" x14ac:dyDescent="0.3">
      <c r="A517" s="42" t="s">
        <v>264</v>
      </c>
      <c r="B517" s="4"/>
    </row>
    <row r="519" spans="1:21" x14ac:dyDescent="0.3">
      <c r="A519" s="42" t="s">
        <v>265</v>
      </c>
    </row>
    <row r="520" spans="1:21" x14ac:dyDescent="0.3">
      <c r="A520" s="42" t="s">
        <v>266</v>
      </c>
    </row>
    <row r="521" spans="1:21" x14ac:dyDescent="0.3">
      <c r="A521" s="42" t="s">
        <v>267</v>
      </c>
      <c r="B521" s="4"/>
    </row>
    <row r="524" spans="1:21" x14ac:dyDescent="0.3">
      <c r="A524" s="44" t="s">
        <v>230</v>
      </c>
      <c r="B524" s="40" t="s">
        <v>272</v>
      </c>
      <c r="C524" s="41"/>
      <c r="D524" s="41"/>
      <c r="E524" s="41"/>
      <c r="F524" s="41"/>
      <c r="G524" s="41"/>
      <c r="H524" s="41"/>
      <c r="I524" s="41"/>
      <c r="J524" s="41"/>
      <c r="K524" s="41"/>
      <c r="L524" s="41"/>
      <c r="M524" s="41"/>
      <c r="N524" s="41"/>
      <c r="O524" s="41"/>
      <c r="P524" s="41"/>
      <c r="Q524" s="41"/>
      <c r="R524" s="41"/>
      <c r="S524" s="41"/>
      <c r="T524" s="41"/>
      <c r="U524" s="41"/>
    </row>
    <row r="526" spans="1:21" ht="28.8" x14ac:dyDescent="0.3">
      <c r="B526" s="19" t="s">
        <v>0</v>
      </c>
      <c r="C526" s="33" t="s">
        <v>229</v>
      </c>
      <c r="D526" s="34" t="s">
        <v>231</v>
      </c>
      <c r="E526" s="35" t="s">
        <v>232</v>
      </c>
      <c r="F526" s="38" t="s">
        <v>233</v>
      </c>
      <c r="G526" s="39"/>
      <c r="H526" s="38" t="s">
        <v>234</v>
      </c>
      <c r="I526" s="39"/>
      <c r="J526" s="38" t="s">
        <v>235</v>
      </c>
      <c r="K526" s="39"/>
      <c r="L526" s="39"/>
      <c r="M526" s="39"/>
      <c r="N526" s="38" t="s">
        <v>236</v>
      </c>
      <c r="O526" s="39"/>
      <c r="P526" s="39"/>
      <c r="Q526" s="39"/>
      <c r="R526" s="33" t="s">
        <v>1</v>
      </c>
      <c r="S526" s="15" t="s">
        <v>228</v>
      </c>
      <c r="T526" s="15" t="s">
        <v>2</v>
      </c>
      <c r="U526" s="15" t="s">
        <v>3</v>
      </c>
    </row>
    <row r="527" spans="1:21" x14ac:dyDescent="0.3">
      <c r="B527" s="23" cm="1">
        <f t="array" ref="B527:U529">'2. Master Tire Specs  '!C698:V700</f>
        <v>0</v>
      </c>
      <c r="C527" s="23">
        <v>0</v>
      </c>
      <c r="D527" s="24">
        <v>0</v>
      </c>
      <c r="E527" s="25">
        <v>0</v>
      </c>
      <c r="F527" s="25">
        <v>0</v>
      </c>
      <c r="G527" s="26">
        <v>0</v>
      </c>
      <c r="H527" s="26">
        <v>0</v>
      </c>
      <c r="I527" s="25">
        <v>0</v>
      </c>
      <c r="J527" s="26">
        <v>0</v>
      </c>
      <c r="K527" s="26">
        <v>0</v>
      </c>
      <c r="L527" s="26">
        <v>0</v>
      </c>
      <c r="M527" s="23">
        <v>0</v>
      </c>
      <c r="N527" s="26">
        <v>0</v>
      </c>
      <c r="O527" s="26">
        <v>0</v>
      </c>
      <c r="P527" s="23">
        <v>0</v>
      </c>
      <c r="Q527" s="23">
        <v>0</v>
      </c>
      <c r="R527" s="23">
        <v>0</v>
      </c>
      <c r="S527" s="2">
        <v>0</v>
      </c>
      <c r="T527" s="2">
        <v>0</v>
      </c>
      <c r="U527" s="2">
        <v>0</v>
      </c>
    </row>
    <row r="528" spans="1:21" x14ac:dyDescent="0.3">
      <c r="B528" s="23">
        <v>0</v>
      </c>
      <c r="C528" s="23">
        <v>0</v>
      </c>
      <c r="D528" s="24">
        <v>0</v>
      </c>
      <c r="E528" s="25">
        <v>0</v>
      </c>
      <c r="F528" s="25">
        <v>0</v>
      </c>
      <c r="G528" s="26">
        <v>0</v>
      </c>
      <c r="H528" s="26">
        <v>0</v>
      </c>
      <c r="I528" s="25">
        <v>0</v>
      </c>
      <c r="J528" s="26">
        <v>0</v>
      </c>
      <c r="K528" s="26">
        <v>0</v>
      </c>
      <c r="L528" s="26">
        <v>0</v>
      </c>
      <c r="M528" s="26">
        <v>0</v>
      </c>
      <c r="N528" s="26">
        <v>0</v>
      </c>
      <c r="O528" s="26">
        <v>0</v>
      </c>
      <c r="P528" s="23">
        <v>0</v>
      </c>
      <c r="Q528" s="23">
        <v>0</v>
      </c>
      <c r="R528" s="23">
        <v>0</v>
      </c>
      <c r="S528" s="2">
        <v>0</v>
      </c>
      <c r="T528" s="2">
        <v>0</v>
      </c>
      <c r="U528" s="2">
        <v>0</v>
      </c>
    </row>
    <row r="529" spans="1:21" x14ac:dyDescent="0.3">
      <c r="B529" s="23">
        <v>0</v>
      </c>
      <c r="C529" s="23">
        <v>0</v>
      </c>
      <c r="D529" s="24">
        <v>0</v>
      </c>
      <c r="E529" s="25">
        <v>0</v>
      </c>
      <c r="F529" s="25">
        <v>0</v>
      </c>
      <c r="G529" s="26">
        <v>0</v>
      </c>
      <c r="H529" s="26">
        <v>0</v>
      </c>
      <c r="I529" s="25">
        <v>0</v>
      </c>
      <c r="J529" s="26">
        <v>0</v>
      </c>
      <c r="K529" s="26">
        <v>0</v>
      </c>
      <c r="L529" s="26">
        <v>0</v>
      </c>
      <c r="M529" s="26">
        <v>0</v>
      </c>
      <c r="N529" s="26">
        <v>0</v>
      </c>
      <c r="O529" s="26">
        <v>0</v>
      </c>
      <c r="P529" s="23">
        <v>0</v>
      </c>
      <c r="Q529" s="23">
        <v>0</v>
      </c>
      <c r="R529" s="23">
        <v>0</v>
      </c>
      <c r="S529" s="2">
        <v>0</v>
      </c>
      <c r="T529" s="2">
        <v>0</v>
      </c>
      <c r="U529" s="2">
        <v>0</v>
      </c>
    </row>
    <row r="530" spans="1:21" x14ac:dyDescent="0.3">
      <c r="B530" s="23"/>
      <c r="C530" s="23"/>
      <c r="D530" s="24"/>
      <c r="E530" s="25"/>
      <c r="F530" s="25"/>
      <c r="G530" s="26"/>
      <c r="H530" s="26"/>
      <c r="I530" s="25"/>
      <c r="J530" s="26"/>
      <c r="K530" s="26"/>
      <c r="L530" s="26"/>
      <c r="M530" s="26"/>
      <c r="N530" s="26"/>
      <c r="O530" s="26"/>
      <c r="P530" s="23"/>
      <c r="Q530" s="23"/>
      <c r="R530" s="23"/>
      <c r="S530" s="2"/>
      <c r="T530" s="2"/>
      <c r="U530" s="2"/>
    </row>
    <row r="532" spans="1:21" x14ac:dyDescent="0.3">
      <c r="A532" s="42" t="s">
        <v>245</v>
      </c>
    </row>
    <row r="533" spans="1:21" x14ac:dyDescent="0.3">
      <c r="A533" s="42" t="s">
        <v>239</v>
      </c>
    </row>
    <row r="535" spans="1:21" x14ac:dyDescent="0.3">
      <c r="A535" s="42" t="s">
        <v>258</v>
      </c>
      <c r="B535" s="4"/>
    </row>
    <row r="536" spans="1:21" x14ac:dyDescent="0.3">
      <c r="A536" s="42" t="s">
        <v>252</v>
      </c>
      <c r="B536" s="4"/>
    </row>
    <row r="537" spans="1:21" x14ac:dyDescent="0.3">
      <c r="A537" s="42" t="s">
        <v>269</v>
      </c>
      <c r="B537" s="4"/>
    </row>
    <row r="539" spans="1:21" x14ac:dyDescent="0.3">
      <c r="A539" s="42" t="s">
        <v>268</v>
      </c>
    </row>
    <row r="544" spans="1:21" x14ac:dyDescent="0.3">
      <c r="A544" s="42" t="s">
        <v>260</v>
      </c>
    </row>
    <row r="545" spans="1:21" x14ac:dyDescent="0.3">
      <c r="A545" s="42" t="s">
        <v>261</v>
      </c>
    </row>
    <row r="546" spans="1:21" x14ac:dyDescent="0.3">
      <c r="A546" s="42" t="s">
        <v>259</v>
      </c>
      <c r="B546" s="4"/>
    </row>
    <row r="548" spans="1:21" x14ac:dyDescent="0.3">
      <c r="A548" s="42" t="s">
        <v>262</v>
      </c>
    </row>
    <row r="549" spans="1:21" x14ac:dyDescent="0.3">
      <c r="A549" s="42" t="s">
        <v>263</v>
      </c>
    </row>
    <row r="550" spans="1:21" x14ac:dyDescent="0.3">
      <c r="A550" s="42" t="s">
        <v>264</v>
      </c>
      <c r="B550" s="4"/>
    </row>
    <row r="552" spans="1:21" x14ac:dyDescent="0.3">
      <c r="A552" s="42" t="s">
        <v>265</v>
      </c>
    </row>
    <row r="553" spans="1:21" x14ac:dyDescent="0.3">
      <c r="A553" s="42" t="s">
        <v>266</v>
      </c>
    </row>
    <row r="554" spans="1:21" x14ac:dyDescent="0.3">
      <c r="A554" s="42" t="s">
        <v>267</v>
      </c>
      <c r="B554" s="4"/>
    </row>
    <row r="557" spans="1:21" x14ac:dyDescent="0.3">
      <c r="A557" s="44" t="s">
        <v>230</v>
      </c>
      <c r="B557" s="40" t="s">
        <v>272</v>
      </c>
      <c r="C557" s="41"/>
      <c r="D557" s="41"/>
      <c r="E557" s="41"/>
      <c r="F557" s="41"/>
      <c r="G557" s="41"/>
      <c r="H557" s="41"/>
      <c r="I557" s="41"/>
      <c r="J557" s="41"/>
      <c r="K557" s="41"/>
      <c r="L557" s="41"/>
      <c r="M557" s="41"/>
      <c r="N557" s="41"/>
      <c r="O557" s="41"/>
      <c r="P557" s="41"/>
      <c r="Q557" s="41"/>
      <c r="R557" s="41"/>
      <c r="S557" s="41"/>
      <c r="T557" s="41"/>
      <c r="U557" s="41"/>
    </row>
    <row r="559" spans="1:21" ht="28.8" x14ac:dyDescent="0.3">
      <c r="B559" s="19" t="s">
        <v>0</v>
      </c>
      <c r="C559" s="33" t="s">
        <v>229</v>
      </c>
      <c r="D559" s="34" t="s">
        <v>231</v>
      </c>
      <c r="E559" s="35" t="s">
        <v>232</v>
      </c>
      <c r="F559" s="38" t="s">
        <v>233</v>
      </c>
      <c r="G559" s="39"/>
      <c r="H559" s="38" t="s">
        <v>234</v>
      </c>
      <c r="I559" s="39"/>
      <c r="J559" s="38" t="s">
        <v>235</v>
      </c>
      <c r="K559" s="39"/>
      <c r="L559" s="39"/>
      <c r="M559" s="39"/>
      <c r="N559" s="38" t="s">
        <v>236</v>
      </c>
      <c r="O559" s="39"/>
      <c r="P559" s="39"/>
      <c r="Q559" s="39"/>
      <c r="R559" s="33" t="s">
        <v>1</v>
      </c>
      <c r="S559" s="15" t="s">
        <v>228</v>
      </c>
      <c r="T559" s="15" t="s">
        <v>2</v>
      </c>
      <c r="U559" s="15" t="s">
        <v>3</v>
      </c>
    </row>
    <row r="560" spans="1:21" x14ac:dyDescent="0.3">
      <c r="B560" s="23" cm="1">
        <f t="array" ref="B560:U562">'2. Master Tire Specs  '!C731:V733</f>
        <v>0</v>
      </c>
      <c r="C560" s="23">
        <v>0</v>
      </c>
      <c r="D560" s="24">
        <v>0</v>
      </c>
      <c r="E560" s="25">
        <v>0</v>
      </c>
      <c r="F560" s="25">
        <v>0</v>
      </c>
      <c r="G560" s="26">
        <v>0</v>
      </c>
      <c r="H560" s="26">
        <v>0</v>
      </c>
      <c r="I560" s="25">
        <v>0</v>
      </c>
      <c r="J560" s="26">
        <v>0</v>
      </c>
      <c r="K560" s="26">
        <v>0</v>
      </c>
      <c r="L560" s="26">
        <v>0</v>
      </c>
      <c r="M560" s="23">
        <v>0</v>
      </c>
      <c r="N560" s="26">
        <v>0</v>
      </c>
      <c r="O560" s="26">
        <v>0</v>
      </c>
      <c r="P560" s="23">
        <v>0</v>
      </c>
      <c r="Q560" s="23">
        <v>0</v>
      </c>
      <c r="R560" s="23">
        <v>0</v>
      </c>
      <c r="S560" s="2">
        <v>0</v>
      </c>
      <c r="T560" s="2">
        <v>0</v>
      </c>
      <c r="U560" s="2">
        <v>0</v>
      </c>
    </row>
    <row r="561" spans="1:21" x14ac:dyDescent="0.3">
      <c r="B561" s="23">
        <v>0</v>
      </c>
      <c r="C561" s="23">
        <v>0</v>
      </c>
      <c r="D561" s="24">
        <v>0</v>
      </c>
      <c r="E561" s="25">
        <v>0</v>
      </c>
      <c r="F561" s="25">
        <v>0</v>
      </c>
      <c r="G561" s="26">
        <v>0</v>
      </c>
      <c r="H561" s="26">
        <v>0</v>
      </c>
      <c r="I561" s="25">
        <v>0</v>
      </c>
      <c r="J561" s="26">
        <v>0</v>
      </c>
      <c r="K561" s="26">
        <v>0</v>
      </c>
      <c r="L561" s="26">
        <v>0</v>
      </c>
      <c r="M561" s="26">
        <v>0</v>
      </c>
      <c r="N561" s="26">
        <v>0</v>
      </c>
      <c r="O561" s="26">
        <v>0</v>
      </c>
      <c r="P561" s="23">
        <v>0</v>
      </c>
      <c r="Q561" s="23">
        <v>0</v>
      </c>
      <c r="R561" s="23">
        <v>0</v>
      </c>
      <c r="S561" s="2">
        <v>0</v>
      </c>
      <c r="T561" s="2">
        <v>0</v>
      </c>
      <c r="U561" s="2">
        <v>0</v>
      </c>
    </row>
    <row r="562" spans="1:21" x14ac:dyDescent="0.3">
      <c r="B562" s="23">
        <v>0</v>
      </c>
      <c r="C562" s="23">
        <v>0</v>
      </c>
      <c r="D562" s="24">
        <v>0</v>
      </c>
      <c r="E562" s="25">
        <v>0</v>
      </c>
      <c r="F562" s="25">
        <v>0</v>
      </c>
      <c r="G562" s="26">
        <v>0</v>
      </c>
      <c r="H562" s="26">
        <v>0</v>
      </c>
      <c r="I562" s="25">
        <v>0</v>
      </c>
      <c r="J562" s="26">
        <v>0</v>
      </c>
      <c r="K562" s="26">
        <v>0</v>
      </c>
      <c r="L562" s="26">
        <v>0</v>
      </c>
      <c r="M562" s="26">
        <v>0</v>
      </c>
      <c r="N562" s="26">
        <v>0</v>
      </c>
      <c r="O562" s="26">
        <v>0</v>
      </c>
      <c r="P562" s="23">
        <v>0</v>
      </c>
      <c r="Q562" s="23">
        <v>0</v>
      </c>
      <c r="R562" s="23">
        <v>0</v>
      </c>
      <c r="S562" s="2">
        <v>0</v>
      </c>
      <c r="T562" s="2">
        <v>0</v>
      </c>
      <c r="U562" s="2">
        <v>0</v>
      </c>
    </row>
    <row r="563" spans="1:21" x14ac:dyDescent="0.3">
      <c r="B563" s="23"/>
      <c r="C563" s="23"/>
      <c r="D563" s="24"/>
      <c r="E563" s="25"/>
      <c r="F563" s="25"/>
      <c r="G563" s="26"/>
      <c r="H563" s="26"/>
      <c r="I563" s="25"/>
      <c r="J563" s="26"/>
      <c r="K563" s="26"/>
      <c r="L563" s="26"/>
      <c r="M563" s="26"/>
      <c r="N563" s="26"/>
      <c r="O563" s="26"/>
      <c r="P563" s="23"/>
      <c r="Q563" s="23"/>
      <c r="R563" s="23"/>
      <c r="S563" s="2"/>
      <c r="T563" s="2"/>
      <c r="U563" s="2"/>
    </row>
    <row r="565" spans="1:21" x14ac:dyDescent="0.3">
      <c r="A565" s="42" t="s">
        <v>245</v>
      </c>
    </row>
    <row r="566" spans="1:21" x14ac:dyDescent="0.3">
      <c r="A566" s="42" t="s">
        <v>239</v>
      </c>
    </row>
    <row r="568" spans="1:21" x14ac:dyDescent="0.3">
      <c r="A568" s="42" t="s">
        <v>258</v>
      </c>
      <c r="B568" s="4"/>
    </row>
    <row r="569" spans="1:21" x14ac:dyDescent="0.3">
      <c r="A569" s="42" t="s">
        <v>252</v>
      </c>
      <c r="B569" s="4"/>
    </row>
    <row r="570" spans="1:21" x14ac:dyDescent="0.3">
      <c r="A570" s="42" t="s">
        <v>269</v>
      </c>
      <c r="B570" s="4"/>
    </row>
    <row r="572" spans="1:21" x14ac:dyDescent="0.3">
      <c r="A572" s="42" t="s">
        <v>268</v>
      </c>
    </row>
    <row r="577" spans="1:21" x14ac:dyDescent="0.3">
      <c r="A577" s="42" t="s">
        <v>260</v>
      </c>
    </row>
    <row r="578" spans="1:21" x14ac:dyDescent="0.3">
      <c r="A578" s="42" t="s">
        <v>261</v>
      </c>
    </row>
    <row r="579" spans="1:21" x14ac:dyDescent="0.3">
      <c r="A579" s="42" t="s">
        <v>259</v>
      </c>
      <c r="B579" s="4"/>
    </row>
    <row r="581" spans="1:21" x14ac:dyDescent="0.3">
      <c r="A581" s="42" t="s">
        <v>262</v>
      </c>
    </row>
    <row r="582" spans="1:21" x14ac:dyDescent="0.3">
      <c r="A582" s="42" t="s">
        <v>263</v>
      </c>
    </row>
    <row r="583" spans="1:21" x14ac:dyDescent="0.3">
      <c r="A583" s="42" t="s">
        <v>264</v>
      </c>
      <c r="B583" s="4"/>
    </row>
    <row r="585" spans="1:21" x14ac:dyDescent="0.3">
      <c r="A585" s="42" t="s">
        <v>265</v>
      </c>
    </row>
    <row r="586" spans="1:21" x14ac:dyDescent="0.3">
      <c r="A586" s="42" t="s">
        <v>266</v>
      </c>
    </row>
    <row r="587" spans="1:21" x14ac:dyDescent="0.3">
      <c r="A587" s="42" t="s">
        <v>267</v>
      </c>
      <c r="B587" s="4"/>
    </row>
    <row r="589" spans="1:21" x14ac:dyDescent="0.3">
      <c r="A589" s="44" t="s">
        <v>230</v>
      </c>
      <c r="B589" s="40" t="s">
        <v>272</v>
      </c>
      <c r="C589" s="41"/>
      <c r="D589" s="41"/>
      <c r="E589" s="41"/>
      <c r="F589" s="41"/>
      <c r="G589" s="41"/>
      <c r="H589" s="41"/>
      <c r="I589" s="41"/>
      <c r="J589" s="41"/>
      <c r="K589" s="41"/>
      <c r="L589" s="41"/>
      <c r="M589" s="41"/>
      <c r="N589" s="41"/>
      <c r="O589" s="41"/>
      <c r="P589" s="41"/>
      <c r="Q589" s="41"/>
      <c r="R589" s="41"/>
      <c r="S589" s="41"/>
      <c r="T589" s="41"/>
      <c r="U589" s="41"/>
    </row>
    <row r="591" spans="1:21" ht="28.8" x14ac:dyDescent="0.3">
      <c r="B591" s="19" t="s">
        <v>0</v>
      </c>
      <c r="C591" s="33" t="s">
        <v>229</v>
      </c>
      <c r="D591" s="34" t="s">
        <v>231</v>
      </c>
      <c r="E591" s="35" t="s">
        <v>232</v>
      </c>
      <c r="F591" s="38" t="s">
        <v>233</v>
      </c>
      <c r="G591" s="39"/>
      <c r="H591" s="38" t="s">
        <v>234</v>
      </c>
      <c r="I591" s="39"/>
      <c r="J591" s="38" t="s">
        <v>235</v>
      </c>
      <c r="K591" s="39"/>
      <c r="L591" s="39"/>
      <c r="M591" s="39"/>
      <c r="N591" s="38" t="s">
        <v>236</v>
      </c>
      <c r="O591" s="39"/>
      <c r="P591" s="39"/>
      <c r="Q591" s="39"/>
      <c r="R591" s="33" t="s">
        <v>1</v>
      </c>
      <c r="S591" s="15" t="s">
        <v>228</v>
      </c>
      <c r="T591" s="15" t="s">
        <v>2</v>
      </c>
      <c r="U591" s="15" t="s">
        <v>3</v>
      </c>
    </row>
    <row r="592" spans="1:21" x14ac:dyDescent="0.3">
      <c r="B592" s="23" cm="1">
        <f t="array" ref="B592:U594">'2. Master Tire Specs  '!C763:V765</f>
        <v>0</v>
      </c>
      <c r="C592" s="23">
        <v>0</v>
      </c>
      <c r="D592" s="24">
        <v>0</v>
      </c>
      <c r="E592" s="25">
        <v>0</v>
      </c>
      <c r="F592" s="25">
        <v>0</v>
      </c>
      <c r="G592" s="26">
        <v>0</v>
      </c>
      <c r="H592" s="26">
        <v>0</v>
      </c>
      <c r="I592" s="25">
        <v>0</v>
      </c>
      <c r="J592" s="26">
        <v>0</v>
      </c>
      <c r="K592" s="26">
        <v>0</v>
      </c>
      <c r="L592" s="26">
        <v>0</v>
      </c>
      <c r="M592" s="23">
        <v>0</v>
      </c>
      <c r="N592" s="26">
        <v>0</v>
      </c>
      <c r="O592" s="26">
        <v>0</v>
      </c>
      <c r="P592" s="23">
        <v>0</v>
      </c>
      <c r="Q592" s="23">
        <v>0</v>
      </c>
      <c r="R592" s="23">
        <v>0</v>
      </c>
      <c r="S592" s="2">
        <v>0</v>
      </c>
      <c r="T592" s="2">
        <v>0</v>
      </c>
      <c r="U592" s="2">
        <v>0</v>
      </c>
    </row>
    <row r="593" spans="1:21" x14ac:dyDescent="0.3">
      <c r="B593" s="23">
        <v>0</v>
      </c>
      <c r="C593" s="23">
        <v>0</v>
      </c>
      <c r="D593" s="24">
        <v>0</v>
      </c>
      <c r="E593" s="25">
        <v>0</v>
      </c>
      <c r="F593" s="25">
        <v>0</v>
      </c>
      <c r="G593" s="26">
        <v>0</v>
      </c>
      <c r="H593" s="26">
        <v>0</v>
      </c>
      <c r="I593" s="25">
        <v>0</v>
      </c>
      <c r="J593" s="26">
        <v>0</v>
      </c>
      <c r="K593" s="26">
        <v>0</v>
      </c>
      <c r="L593" s="26">
        <v>0</v>
      </c>
      <c r="M593" s="26">
        <v>0</v>
      </c>
      <c r="N593" s="26">
        <v>0</v>
      </c>
      <c r="O593" s="26">
        <v>0</v>
      </c>
      <c r="P593" s="23">
        <v>0</v>
      </c>
      <c r="Q593" s="23">
        <v>0</v>
      </c>
      <c r="R593" s="23">
        <v>0</v>
      </c>
      <c r="S593" s="2">
        <v>0</v>
      </c>
      <c r="T593" s="2">
        <v>0</v>
      </c>
      <c r="U593" s="2">
        <v>0</v>
      </c>
    </row>
    <row r="594" spans="1:21" x14ac:dyDescent="0.3">
      <c r="B594" s="23">
        <v>0</v>
      </c>
      <c r="C594" s="23">
        <v>0</v>
      </c>
      <c r="D594" s="24">
        <v>0</v>
      </c>
      <c r="E594" s="25">
        <v>0</v>
      </c>
      <c r="F594" s="25">
        <v>0</v>
      </c>
      <c r="G594" s="26">
        <v>0</v>
      </c>
      <c r="H594" s="26">
        <v>0</v>
      </c>
      <c r="I594" s="25">
        <v>0</v>
      </c>
      <c r="J594" s="26">
        <v>0</v>
      </c>
      <c r="K594" s="26">
        <v>0</v>
      </c>
      <c r="L594" s="26">
        <v>0</v>
      </c>
      <c r="M594" s="26">
        <v>0</v>
      </c>
      <c r="N594" s="26">
        <v>0</v>
      </c>
      <c r="O594" s="26">
        <v>0</v>
      </c>
      <c r="P594" s="23">
        <v>0</v>
      </c>
      <c r="Q594" s="23">
        <v>0</v>
      </c>
      <c r="R594" s="23">
        <v>0</v>
      </c>
      <c r="S594" s="2">
        <v>0</v>
      </c>
      <c r="T594" s="2">
        <v>0</v>
      </c>
      <c r="U594" s="2">
        <v>0</v>
      </c>
    </row>
    <row r="595" spans="1:21" x14ac:dyDescent="0.3">
      <c r="B595" s="23"/>
      <c r="C595" s="23"/>
      <c r="D595" s="24"/>
      <c r="E595" s="25"/>
      <c r="F595" s="25"/>
      <c r="G595" s="26"/>
      <c r="H595" s="26"/>
      <c r="I595" s="25"/>
      <c r="J595" s="26"/>
      <c r="K595" s="26"/>
      <c r="L595" s="26"/>
      <c r="M595" s="26"/>
      <c r="N595" s="26"/>
      <c r="O595" s="26"/>
      <c r="P595" s="23"/>
      <c r="Q595" s="23"/>
      <c r="R595" s="23"/>
      <c r="S595" s="2"/>
      <c r="T595" s="2"/>
      <c r="U595" s="2"/>
    </row>
    <row r="597" spans="1:21" x14ac:dyDescent="0.3">
      <c r="A597" s="42" t="s">
        <v>245</v>
      </c>
    </row>
    <row r="598" spans="1:21" x14ac:dyDescent="0.3">
      <c r="A598" s="42" t="s">
        <v>239</v>
      </c>
    </row>
    <row r="600" spans="1:21" x14ac:dyDescent="0.3">
      <c r="A600" s="42" t="s">
        <v>258</v>
      </c>
      <c r="B600" s="4"/>
    </row>
    <row r="601" spans="1:21" x14ac:dyDescent="0.3">
      <c r="A601" s="42" t="s">
        <v>252</v>
      </c>
      <c r="B601" s="4"/>
    </row>
    <row r="602" spans="1:21" x14ac:dyDescent="0.3">
      <c r="A602" s="42" t="s">
        <v>269</v>
      </c>
      <c r="B602" s="4"/>
    </row>
    <row r="604" spans="1:21" x14ac:dyDescent="0.3">
      <c r="A604" s="42" t="s">
        <v>268</v>
      </c>
    </row>
    <row r="609" spans="1:21" x14ac:dyDescent="0.3">
      <c r="A609" s="42" t="s">
        <v>260</v>
      </c>
    </row>
    <row r="610" spans="1:21" x14ac:dyDescent="0.3">
      <c r="A610" s="42" t="s">
        <v>261</v>
      </c>
    </row>
    <row r="611" spans="1:21" x14ac:dyDescent="0.3">
      <c r="A611" s="42" t="s">
        <v>259</v>
      </c>
      <c r="B611" s="4"/>
    </row>
    <row r="613" spans="1:21" x14ac:dyDescent="0.3">
      <c r="A613" s="42" t="s">
        <v>262</v>
      </c>
    </row>
    <row r="614" spans="1:21" x14ac:dyDescent="0.3">
      <c r="A614" s="42" t="s">
        <v>263</v>
      </c>
    </row>
    <row r="615" spans="1:21" x14ac:dyDescent="0.3">
      <c r="A615" s="42" t="s">
        <v>264</v>
      </c>
      <c r="B615" s="4"/>
    </row>
    <row r="617" spans="1:21" x14ac:dyDescent="0.3">
      <c r="A617" s="42" t="s">
        <v>265</v>
      </c>
    </row>
    <row r="618" spans="1:21" x14ac:dyDescent="0.3">
      <c r="A618" s="42" t="s">
        <v>266</v>
      </c>
    </row>
    <row r="619" spans="1:21" x14ac:dyDescent="0.3">
      <c r="A619" s="42" t="s">
        <v>267</v>
      </c>
      <c r="B619" s="4"/>
    </row>
    <row r="622" spans="1:21" x14ac:dyDescent="0.3">
      <c r="A622" s="44" t="s">
        <v>230</v>
      </c>
      <c r="B622" s="40" t="s">
        <v>272</v>
      </c>
      <c r="C622" s="41"/>
      <c r="D622" s="41"/>
      <c r="E622" s="41"/>
      <c r="F622" s="41"/>
      <c r="G622" s="41"/>
      <c r="H622" s="41"/>
      <c r="I622" s="41"/>
      <c r="J622" s="41"/>
      <c r="K622" s="41"/>
      <c r="L622" s="41"/>
      <c r="M622" s="41"/>
      <c r="N622" s="41"/>
      <c r="O622" s="41"/>
      <c r="P622" s="41"/>
      <c r="Q622" s="41"/>
      <c r="R622" s="41"/>
      <c r="S622" s="41"/>
      <c r="T622" s="41"/>
      <c r="U622" s="41"/>
    </row>
    <row r="624" spans="1:21" ht="28.8" x14ac:dyDescent="0.3">
      <c r="B624" s="19" t="s">
        <v>0</v>
      </c>
      <c r="C624" s="33" t="s">
        <v>229</v>
      </c>
      <c r="D624" s="34" t="s">
        <v>231</v>
      </c>
      <c r="E624" s="35" t="s">
        <v>232</v>
      </c>
      <c r="F624" s="38" t="s">
        <v>233</v>
      </c>
      <c r="G624" s="39"/>
      <c r="H624" s="38" t="s">
        <v>234</v>
      </c>
      <c r="I624" s="39"/>
      <c r="J624" s="38" t="s">
        <v>235</v>
      </c>
      <c r="K624" s="39"/>
      <c r="L624" s="39"/>
      <c r="M624" s="39"/>
      <c r="N624" s="38" t="s">
        <v>236</v>
      </c>
      <c r="O624" s="39"/>
      <c r="P624" s="39"/>
      <c r="Q624" s="39"/>
      <c r="R624" s="33" t="s">
        <v>1</v>
      </c>
      <c r="S624" s="15" t="s">
        <v>228</v>
      </c>
      <c r="T624" s="15" t="s">
        <v>2</v>
      </c>
      <c r="U624" s="15" t="s">
        <v>3</v>
      </c>
    </row>
    <row r="625" spans="1:21" x14ac:dyDescent="0.3">
      <c r="B625" s="23" cm="1">
        <f t="array" ref="B625:U627">'2. Master Tire Specs  '!C796:V798</f>
        <v>0</v>
      </c>
      <c r="C625" s="23">
        <v>0</v>
      </c>
      <c r="D625" s="24">
        <v>0</v>
      </c>
      <c r="E625" s="25">
        <v>0</v>
      </c>
      <c r="F625" s="25">
        <v>0</v>
      </c>
      <c r="G625" s="26">
        <v>0</v>
      </c>
      <c r="H625" s="26">
        <v>0</v>
      </c>
      <c r="I625" s="25">
        <v>0</v>
      </c>
      <c r="J625" s="26">
        <v>0</v>
      </c>
      <c r="K625" s="26">
        <v>0</v>
      </c>
      <c r="L625" s="26">
        <v>0</v>
      </c>
      <c r="M625" s="23">
        <v>0</v>
      </c>
      <c r="N625" s="26">
        <v>0</v>
      </c>
      <c r="O625" s="26">
        <v>0</v>
      </c>
      <c r="P625" s="23">
        <v>0</v>
      </c>
      <c r="Q625" s="23">
        <v>0</v>
      </c>
      <c r="R625" s="23">
        <v>0</v>
      </c>
      <c r="S625" s="2">
        <v>0</v>
      </c>
      <c r="T625" s="2">
        <v>0</v>
      </c>
      <c r="U625" s="2">
        <v>0</v>
      </c>
    </row>
    <row r="626" spans="1:21" x14ac:dyDescent="0.3">
      <c r="B626" s="23">
        <v>0</v>
      </c>
      <c r="C626" s="23">
        <v>0</v>
      </c>
      <c r="D626" s="24">
        <v>0</v>
      </c>
      <c r="E626" s="25">
        <v>0</v>
      </c>
      <c r="F626" s="25">
        <v>0</v>
      </c>
      <c r="G626" s="26">
        <v>0</v>
      </c>
      <c r="H626" s="26">
        <v>0</v>
      </c>
      <c r="I626" s="25">
        <v>0</v>
      </c>
      <c r="J626" s="26">
        <v>0</v>
      </c>
      <c r="K626" s="26">
        <v>0</v>
      </c>
      <c r="L626" s="26">
        <v>0</v>
      </c>
      <c r="M626" s="26">
        <v>0</v>
      </c>
      <c r="N626" s="26">
        <v>0</v>
      </c>
      <c r="O626" s="26">
        <v>0</v>
      </c>
      <c r="P626" s="23">
        <v>0</v>
      </c>
      <c r="Q626" s="23">
        <v>0</v>
      </c>
      <c r="R626" s="23">
        <v>0</v>
      </c>
      <c r="S626" s="2">
        <v>0</v>
      </c>
      <c r="T626" s="2">
        <v>0</v>
      </c>
      <c r="U626" s="2">
        <v>0</v>
      </c>
    </row>
    <row r="627" spans="1:21" x14ac:dyDescent="0.3">
      <c r="B627" s="23">
        <v>0</v>
      </c>
      <c r="C627" s="23">
        <v>0</v>
      </c>
      <c r="D627" s="24">
        <v>0</v>
      </c>
      <c r="E627" s="25">
        <v>0</v>
      </c>
      <c r="F627" s="25">
        <v>0</v>
      </c>
      <c r="G627" s="26">
        <v>0</v>
      </c>
      <c r="H627" s="26">
        <v>0</v>
      </c>
      <c r="I627" s="25">
        <v>0</v>
      </c>
      <c r="J627" s="26">
        <v>0</v>
      </c>
      <c r="K627" s="26">
        <v>0</v>
      </c>
      <c r="L627" s="26">
        <v>0</v>
      </c>
      <c r="M627" s="26">
        <v>0</v>
      </c>
      <c r="N627" s="26">
        <v>0</v>
      </c>
      <c r="O627" s="26">
        <v>0</v>
      </c>
      <c r="P627" s="23">
        <v>0</v>
      </c>
      <c r="Q627" s="23">
        <v>0</v>
      </c>
      <c r="R627" s="23">
        <v>0</v>
      </c>
      <c r="S627" s="2">
        <v>0</v>
      </c>
      <c r="T627" s="2">
        <v>0</v>
      </c>
      <c r="U627" s="2">
        <v>0</v>
      </c>
    </row>
    <row r="628" spans="1:21" x14ac:dyDescent="0.3">
      <c r="B628" s="23"/>
      <c r="C628" s="23"/>
      <c r="D628" s="24"/>
      <c r="E628" s="25"/>
      <c r="F628" s="25"/>
      <c r="G628" s="26"/>
      <c r="H628" s="26"/>
      <c r="I628" s="25"/>
      <c r="J628" s="26"/>
      <c r="K628" s="26"/>
      <c r="L628" s="26"/>
      <c r="M628" s="26"/>
      <c r="N628" s="26"/>
      <c r="O628" s="26"/>
      <c r="P628" s="23"/>
      <c r="Q628" s="23"/>
      <c r="R628" s="23"/>
      <c r="S628" s="2"/>
      <c r="T628" s="2"/>
      <c r="U628" s="2"/>
    </row>
    <row r="630" spans="1:21" x14ac:dyDescent="0.3">
      <c r="A630" s="42" t="s">
        <v>245</v>
      </c>
    </row>
    <row r="631" spans="1:21" x14ac:dyDescent="0.3">
      <c r="A631" s="42" t="s">
        <v>239</v>
      </c>
    </row>
    <row r="633" spans="1:21" x14ac:dyDescent="0.3">
      <c r="A633" s="42" t="s">
        <v>258</v>
      </c>
      <c r="B633" s="4"/>
    </row>
    <row r="634" spans="1:21" x14ac:dyDescent="0.3">
      <c r="A634" s="42" t="s">
        <v>252</v>
      </c>
      <c r="B634" s="4"/>
    </row>
    <row r="635" spans="1:21" x14ac:dyDescent="0.3">
      <c r="A635" s="42" t="s">
        <v>269</v>
      </c>
      <c r="B635" s="4"/>
    </row>
    <row r="637" spans="1:21" x14ac:dyDescent="0.3">
      <c r="A637" s="42" t="s">
        <v>268</v>
      </c>
    </row>
    <row r="642" spans="1:21" x14ac:dyDescent="0.3">
      <c r="A642" s="42" t="s">
        <v>260</v>
      </c>
    </row>
    <row r="643" spans="1:21" x14ac:dyDescent="0.3">
      <c r="A643" s="42" t="s">
        <v>261</v>
      </c>
    </row>
    <row r="644" spans="1:21" x14ac:dyDescent="0.3">
      <c r="A644" s="42" t="s">
        <v>259</v>
      </c>
      <c r="B644" s="4"/>
    </row>
    <row r="646" spans="1:21" x14ac:dyDescent="0.3">
      <c r="A646" s="42" t="s">
        <v>262</v>
      </c>
    </row>
    <row r="647" spans="1:21" x14ac:dyDescent="0.3">
      <c r="A647" s="42" t="s">
        <v>263</v>
      </c>
    </row>
    <row r="648" spans="1:21" x14ac:dyDescent="0.3">
      <c r="A648" s="42" t="s">
        <v>264</v>
      </c>
      <c r="B648" s="4"/>
    </row>
    <row r="650" spans="1:21" x14ac:dyDescent="0.3">
      <c r="A650" s="42" t="s">
        <v>265</v>
      </c>
    </row>
    <row r="651" spans="1:21" x14ac:dyDescent="0.3">
      <c r="A651" s="42" t="s">
        <v>266</v>
      </c>
    </row>
    <row r="652" spans="1:21" x14ac:dyDescent="0.3">
      <c r="A652" s="42" t="s">
        <v>267</v>
      </c>
      <c r="B652" s="4"/>
    </row>
    <row r="654" spans="1:21" x14ac:dyDescent="0.3">
      <c r="A654" s="44" t="s">
        <v>230</v>
      </c>
      <c r="B654" s="40" t="s">
        <v>272</v>
      </c>
      <c r="C654" s="41"/>
      <c r="D654" s="41"/>
      <c r="E654" s="41"/>
      <c r="F654" s="41"/>
      <c r="G654" s="41"/>
      <c r="H654" s="41"/>
      <c r="I654" s="41"/>
      <c r="J654" s="41"/>
      <c r="K654" s="41"/>
      <c r="L654" s="41"/>
      <c r="M654" s="41"/>
      <c r="N654" s="41"/>
      <c r="O654" s="41"/>
      <c r="P654" s="41"/>
      <c r="Q654" s="41"/>
      <c r="R654" s="41"/>
      <c r="S654" s="41"/>
      <c r="T654" s="41"/>
      <c r="U654" s="41"/>
    </row>
    <row r="656" spans="1:21" ht="28.8" x14ac:dyDescent="0.3">
      <c r="B656" s="19" t="s">
        <v>0</v>
      </c>
      <c r="C656" s="33" t="s">
        <v>229</v>
      </c>
      <c r="D656" s="34" t="s">
        <v>231</v>
      </c>
      <c r="E656" s="35" t="s">
        <v>232</v>
      </c>
      <c r="F656" s="38" t="s">
        <v>233</v>
      </c>
      <c r="G656" s="39"/>
      <c r="H656" s="38" t="s">
        <v>234</v>
      </c>
      <c r="I656" s="39"/>
      <c r="J656" s="38" t="s">
        <v>235</v>
      </c>
      <c r="K656" s="39"/>
      <c r="L656" s="39"/>
      <c r="M656" s="39"/>
      <c r="N656" s="38" t="s">
        <v>236</v>
      </c>
      <c r="O656" s="39"/>
      <c r="P656" s="39"/>
      <c r="Q656" s="39"/>
      <c r="R656" s="33" t="s">
        <v>1</v>
      </c>
      <c r="S656" s="15" t="s">
        <v>228</v>
      </c>
      <c r="T656" s="15" t="s">
        <v>2</v>
      </c>
      <c r="U656" s="15" t="s">
        <v>3</v>
      </c>
    </row>
    <row r="657" spans="1:21" x14ac:dyDescent="0.3">
      <c r="B657" s="23" cm="1">
        <f t="array" ref="B657:U659">'2. Master Tire Specs  '!C828:V830</f>
        <v>0</v>
      </c>
      <c r="C657" s="23">
        <v>0</v>
      </c>
      <c r="D657" s="24">
        <v>0</v>
      </c>
      <c r="E657" s="25">
        <v>0</v>
      </c>
      <c r="F657" s="25">
        <v>0</v>
      </c>
      <c r="G657" s="26">
        <v>0</v>
      </c>
      <c r="H657" s="26">
        <v>0</v>
      </c>
      <c r="I657" s="25">
        <v>0</v>
      </c>
      <c r="J657" s="26">
        <v>0</v>
      </c>
      <c r="K657" s="26">
        <v>0</v>
      </c>
      <c r="L657" s="26">
        <v>0</v>
      </c>
      <c r="M657" s="23">
        <v>0</v>
      </c>
      <c r="N657" s="26">
        <v>0</v>
      </c>
      <c r="O657" s="26">
        <v>0</v>
      </c>
      <c r="P657" s="23">
        <v>0</v>
      </c>
      <c r="Q657" s="23">
        <v>0</v>
      </c>
      <c r="R657" s="23">
        <v>0</v>
      </c>
      <c r="S657" s="2">
        <v>0</v>
      </c>
      <c r="T657" s="2">
        <v>0</v>
      </c>
      <c r="U657" s="2">
        <v>0</v>
      </c>
    </row>
    <row r="658" spans="1:21" x14ac:dyDescent="0.3">
      <c r="B658" s="23">
        <v>0</v>
      </c>
      <c r="C658" s="23">
        <v>0</v>
      </c>
      <c r="D658" s="24">
        <v>0</v>
      </c>
      <c r="E658" s="25">
        <v>0</v>
      </c>
      <c r="F658" s="25">
        <v>0</v>
      </c>
      <c r="G658" s="26">
        <v>0</v>
      </c>
      <c r="H658" s="26">
        <v>0</v>
      </c>
      <c r="I658" s="25">
        <v>0</v>
      </c>
      <c r="J658" s="26">
        <v>0</v>
      </c>
      <c r="K658" s="26">
        <v>0</v>
      </c>
      <c r="L658" s="26">
        <v>0</v>
      </c>
      <c r="M658" s="26">
        <v>0</v>
      </c>
      <c r="N658" s="26">
        <v>0</v>
      </c>
      <c r="O658" s="26">
        <v>0</v>
      </c>
      <c r="P658" s="23">
        <v>0</v>
      </c>
      <c r="Q658" s="23">
        <v>0</v>
      </c>
      <c r="R658" s="23">
        <v>0</v>
      </c>
      <c r="S658" s="2">
        <v>0</v>
      </c>
      <c r="T658" s="2">
        <v>0</v>
      </c>
      <c r="U658" s="2">
        <v>0</v>
      </c>
    </row>
    <row r="659" spans="1:21" x14ac:dyDescent="0.3">
      <c r="B659" s="23">
        <v>0</v>
      </c>
      <c r="C659" s="23">
        <v>0</v>
      </c>
      <c r="D659" s="24">
        <v>0</v>
      </c>
      <c r="E659" s="25">
        <v>0</v>
      </c>
      <c r="F659" s="25">
        <v>0</v>
      </c>
      <c r="G659" s="26">
        <v>0</v>
      </c>
      <c r="H659" s="26">
        <v>0</v>
      </c>
      <c r="I659" s="25">
        <v>0</v>
      </c>
      <c r="J659" s="26">
        <v>0</v>
      </c>
      <c r="K659" s="26">
        <v>0</v>
      </c>
      <c r="L659" s="26">
        <v>0</v>
      </c>
      <c r="M659" s="26">
        <v>0</v>
      </c>
      <c r="N659" s="26">
        <v>0</v>
      </c>
      <c r="O659" s="26">
        <v>0</v>
      </c>
      <c r="P659" s="23">
        <v>0</v>
      </c>
      <c r="Q659" s="23">
        <v>0</v>
      </c>
      <c r="R659" s="23">
        <v>0</v>
      </c>
      <c r="S659" s="2">
        <v>0</v>
      </c>
      <c r="T659" s="2">
        <v>0</v>
      </c>
      <c r="U659" s="2">
        <v>0</v>
      </c>
    </row>
    <row r="660" spans="1:21" x14ac:dyDescent="0.3">
      <c r="B660" s="23"/>
      <c r="C660" s="23"/>
      <c r="D660" s="24"/>
      <c r="E660" s="25"/>
      <c r="F660" s="25"/>
      <c r="G660" s="26"/>
      <c r="H660" s="26"/>
      <c r="I660" s="25"/>
      <c r="J660" s="26"/>
      <c r="K660" s="26"/>
      <c r="L660" s="26"/>
      <c r="M660" s="26"/>
      <c r="N660" s="26"/>
      <c r="O660" s="26"/>
      <c r="P660" s="23"/>
      <c r="Q660" s="23"/>
      <c r="R660" s="23"/>
      <c r="S660" s="2"/>
      <c r="T660" s="2"/>
      <c r="U660" s="2"/>
    </row>
    <row r="662" spans="1:21" x14ac:dyDescent="0.3">
      <c r="A662" s="42" t="s">
        <v>245</v>
      </c>
    </row>
    <row r="663" spans="1:21" x14ac:dyDescent="0.3">
      <c r="A663" s="42" t="s">
        <v>239</v>
      </c>
    </row>
    <row r="665" spans="1:21" x14ac:dyDescent="0.3">
      <c r="A665" s="42" t="s">
        <v>258</v>
      </c>
      <c r="B665" s="4"/>
    </row>
    <row r="666" spans="1:21" x14ac:dyDescent="0.3">
      <c r="A666" s="42" t="s">
        <v>252</v>
      </c>
      <c r="B666" s="4"/>
    </row>
    <row r="667" spans="1:21" x14ac:dyDescent="0.3">
      <c r="A667" s="42" t="s">
        <v>269</v>
      </c>
      <c r="B667" s="4"/>
    </row>
    <row r="669" spans="1:21" x14ac:dyDescent="0.3">
      <c r="A669" s="42" t="s">
        <v>268</v>
      </c>
    </row>
    <row r="674" spans="1:21" x14ac:dyDescent="0.3">
      <c r="A674" s="42" t="s">
        <v>260</v>
      </c>
    </row>
    <row r="675" spans="1:21" x14ac:dyDescent="0.3">
      <c r="A675" s="42" t="s">
        <v>261</v>
      </c>
    </row>
    <row r="676" spans="1:21" x14ac:dyDescent="0.3">
      <c r="A676" s="42" t="s">
        <v>259</v>
      </c>
      <c r="B676" s="4"/>
    </row>
    <row r="678" spans="1:21" x14ac:dyDescent="0.3">
      <c r="A678" s="42" t="s">
        <v>262</v>
      </c>
    </row>
    <row r="679" spans="1:21" x14ac:dyDescent="0.3">
      <c r="A679" s="42" t="s">
        <v>263</v>
      </c>
    </row>
    <row r="680" spans="1:21" x14ac:dyDescent="0.3">
      <c r="A680" s="42" t="s">
        <v>264</v>
      </c>
      <c r="B680" s="4"/>
    </row>
    <row r="682" spans="1:21" x14ac:dyDescent="0.3">
      <c r="A682" s="42" t="s">
        <v>265</v>
      </c>
    </row>
    <row r="683" spans="1:21" x14ac:dyDescent="0.3">
      <c r="A683" s="42" t="s">
        <v>266</v>
      </c>
    </row>
    <row r="684" spans="1:21" x14ac:dyDescent="0.3">
      <c r="A684" s="42" t="s">
        <v>267</v>
      </c>
      <c r="B684" s="4"/>
    </row>
    <row r="686" spans="1:21" x14ac:dyDescent="0.3">
      <c r="A686" s="44" t="s">
        <v>230</v>
      </c>
      <c r="B686" s="40" t="s">
        <v>272</v>
      </c>
      <c r="C686" s="41"/>
      <c r="D686" s="41"/>
      <c r="E686" s="41"/>
      <c r="F686" s="41"/>
      <c r="G686" s="41"/>
      <c r="H686" s="41"/>
      <c r="I686" s="41"/>
      <c r="J686" s="41"/>
      <c r="K686" s="41"/>
      <c r="L686" s="41"/>
      <c r="M686" s="41"/>
      <c r="N686" s="41"/>
      <c r="O686" s="41"/>
      <c r="P686" s="41"/>
      <c r="Q686" s="41"/>
      <c r="R686" s="41"/>
      <c r="S686" s="41"/>
      <c r="T686" s="41"/>
      <c r="U686" s="41"/>
    </row>
    <row r="688" spans="1:21" ht="28.8" x14ac:dyDescent="0.3">
      <c r="B688" s="19" t="s">
        <v>0</v>
      </c>
      <c r="C688" s="33" t="s">
        <v>229</v>
      </c>
      <c r="D688" s="34" t="s">
        <v>231</v>
      </c>
      <c r="E688" s="35" t="s">
        <v>232</v>
      </c>
      <c r="F688" s="38" t="s">
        <v>233</v>
      </c>
      <c r="G688" s="39"/>
      <c r="H688" s="38" t="s">
        <v>234</v>
      </c>
      <c r="I688" s="39"/>
      <c r="J688" s="38" t="s">
        <v>235</v>
      </c>
      <c r="K688" s="39"/>
      <c r="L688" s="39"/>
      <c r="M688" s="39"/>
      <c r="N688" s="38" t="s">
        <v>236</v>
      </c>
      <c r="O688" s="39"/>
      <c r="P688" s="39"/>
      <c r="Q688" s="39"/>
      <c r="R688" s="33" t="s">
        <v>1</v>
      </c>
      <c r="S688" s="15" t="s">
        <v>228</v>
      </c>
      <c r="T688" s="15" t="s">
        <v>2</v>
      </c>
      <c r="U688" s="15" t="s">
        <v>3</v>
      </c>
    </row>
    <row r="689" spans="1:21" x14ac:dyDescent="0.3">
      <c r="B689" s="23" cm="1">
        <f t="array" ref="B689:U691">'2. Master Tire Specs  '!C860:V862</f>
        <v>0</v>
      </c>
      <c r="C689" s="23">
        <v>0</v>
      </c>
      <c r="D689" s="24">
        <v>0</v>
      </c>
      <c r="E689" s="25">
        <v>0</v>
      </c>
      <c r="F689" s="25">
        <v>0</v>
      </c>
      <c r="G689" s="26">
        <v>0</v>
      </c>
      <c r="H689" s="26">
        <v>0</v>
      </c>
      <c r="I689" s="25">
        <v>0</v>
      </c>
      <c r="J689" s="26">
        <v>0</v>
      </c>
      <c r="K689" s="26">
        <v>0</v>
      </c>
      <c r="L689" s="26">
        <v>0</v>
      </c>
      <c r="M689" s="23">
        <v>0</v>
      </c>
      <c r="N689" s="26">
        <v>0</v>
      </c>
      <c r="O689" s="26">
        <v>0</v>
      </c>
      <c r="P689" s="23">
        <v>0</v>
      </c>
      <c r="Q689" s="23">
        <v>0</v>
      </c>
      <c r="R689" s="23">
        <v>0</v>
      </c>
      <c r="S689" s="2">
        <v>0</v>
      </c>
      <c r="T689" s="2">
        <v>0</v>
      </c>
      <c r="U689" s="2">
        <v>0</v>
      </c>
    </row>
    <row r="690" spans="1:21" x14ac:dyDescent="0.3">
      <c r="B690" s="23">
        <v>0</v>
      </c>
      <c r="C690" s="23">
        <v>0</v>
      </c>
      <c r="D690" s="24">
        <v>0</v>
      </c>
      <c r="E690" s="25">
        <v>0</v>
      </c>
      <c r="F690" s="25">
        <v>0</v>
      </c>
      <c r="G690" s="26">
        <v>0</v>
      </c>
      <c r="H690" s="26">
        <v>0</v>
      </c>
      <c r="I690" s="25">
        <v>0</v>
      </c>
      <c r="J690" s="26">
        <v>0</v>
      </c>
      <c r="K690" s="26">
        <v>0</v>
      </c>
      <c r="L690" s="26">
        <v>0</v>
      </c>
      <c r="M690" s="26">
        <v>0</v>
      </c>
      <c r="N690" s="26">
        <v>0</v>
      </c>
      <c r="O690" s="26">
        <v>0</v>
      </c>
      <c r="P690" s="23">
        <v>0</v>
      </c>
      <c r="Q690" s="23">
        <v>0</v>
      </c>
      <c r="R690" s="23">
        <v>0</v>
      </c>
      <c r="S690" s="2">
        <v>0</v>
      </c>
      <c r="T690" s="2">
        <v>0</v>
      </c>
      <c r="U690" s="2">
        <v>0</v>
      </c>
    </row>
    <row r="691" spans="1:21" x14ac:dyDescent="0.3">
      <c r="B691" s="23">
        <v>0</v>
      </c>
      <c r="C691" s="23">
        <v>0</v>
      </c>
      <c r="D691" s="24">
        <v>0</v>
      </c>
      <c r="E691" s="25">
        <v>0</v>
      </c>
      <c r="F691" s="25">
        <v>0</v>
      </c>
      <c r="G691" s="26">
        <v>0</v>
      </c>
      <c r="H691" s="26">
        <v>0</v>
      </c>
      <c r="I691" s="25">
        <v>0</v>
      </c>
      <c r="J691" s="26">
        <v>0</v>
      </c>
      <c r="K691" s="26">
        <v>0</v>
      </c>
      <c r="L691" s="26">
        <v>0</v>
      </c>
      <c r="M691" s="26">
        <v>0</v>
      </c>
      <c r="N691" s="26">
        <v>0</v>
      </c>
      <c r="O691" s="26">
        <v>0</v>
      </c>
      <c r="P691" s="23">
        <v>0</v>
      </c>
      <c r="Q691" s="23">
        <v>0</v>
      </c>
      <c r="R691" s="23">
        <v>0</v>
      </c>
      <c r="S691" s="2">
        <v>0</v>
      </c>
      <c r="T691" s="2">
        <v>0</v>
      </c>
      <c r="U691" s="2">
        <v>0</v>
      </c>
    </row>
    <row r="692" spans="1:21" x14ac:dyDescent="0.3">
      <c r="B692" s="23"/>
      <c r="C692" s="23"/>
      <c r="D692" s="24"/>
      <c r="E692" s="25"/>
      <c r="F692" s="25"/>
      <c r="G692" s="26"/>
      <c r="H692" s="26"/>
      <c r="I692" s="25"/>
      <c r="J692" s="26"/>
      <c r="K692" s="26"/>
      <c r="L692" s="26"/>
      <c r="M692" s="26"/>
      <c r="N692" s="26"/>
      <c r="O692" s="26"/>
      <c r="P692" s="23"/>
      <c r="Q692" s="23"/>
      <c r="R692" s="23"/>
      <c r="S692" s="2"/>
      <c r="T692" s="2"/>
      <c r="U692" s="2"/>
    </row>
    <row r="694" spans="1:21" x14ac:dyDescent="0.3">
      <c r="A694" s="42" t="s">
        <v>245</v>
      </c>
    </row>
    <row r="695" spans="1:21" x14ac:dyDescent="0.3">
      <c r="A695" s="42" t="s">
        <v>239</v>
      </c>
    </row>
    <row r="697" spans="1:21" x14ac:dyDescent="0.3">
      <c r="A697" s="42" t="s">
        <v>258</v>
      </c>
      <c r="B697" s="4"/>
    </row>
    <row r="698" spans="1:21" x14ac:dyDescent="0.3">
      <c r="A698" s="42" t="s">
        <v>252</v>
      </c>
      <c r="B698" s="4"/>
    </row>
    <row r="699" spans="1:21" x14ac:dyDescent="0.3">
      <c r="A699" s="42" t="s">
        <v>269</v>
      </c>
      <c r="B699" s="4"/>
    </row>
    <row r="701" spans="1:21" x14ac:dyDescent="0.3">
      <c r="A701" s="42" t="s">
        <v>268</v>
      </c>
    </row>
    <row r="706" spans="1:21" x14ac:dyDescent="0.3">
      <c r="A706" s="42" t="s">
        <v>260</v>
      </c>
    </row>
    <row r="707" spans="1:21" x14ac:dyDescent="0.3">
      <c r="A707" s="42" t="s">
        <v>261</v>
      </c>
    </row>
    <row r="708" spans="1:21" x14ac:dyDescent="0.3">
      <c r="A708" s="42" t="s">
        <v>259</v>
      </c>
      <c r="B708" s="4"/>
    </row>
    <row r="710" spans="1:21" x14ac:dyDescent="0.3">
      <c r="A710" s="42" t="s">
        <v>262</v>
      </c>
    </row>
    <row r="711" spans="1:21" x14ac:dyDescent="0.3">
      <c r="A711" s="42" t="s">
        <v>263</v>
      </c>
    </row>
    <row r="712" spans="1:21" x14ac:dyDescent="0.3">
      <c r="A712" s="42" t="s">
        <v>264</v>
      </c>
      <c r="B712" s="4"/>
    </row>
    <row r="714" spans="1:21" x14ac:dyDescent="0.3">
      <c r="A714" s="42" t="s">
        <v>265</v>
      </c>
    </row>
    <row r="715" spans="1:21" x14ac:dyDescent="0.3">
      <c r="A715" s="42" t="s">
        <v>266</v>
      </c>
    </row>
    <row r="716" spans="1:21" x14ac:dyDescent="0.3">
      <c r="A716" s="42" t="s">
        <v>267</v>
      </c>
      <c r="B716" s="4"/>
    </row>
    <row r="719" spans="1:21" x14ac:dyDescent="0.3">
      <c r="A719" s="44" t="s">
        <v>230</v>
      </c>
      <c r="B719" s="40" t="s">
        <v>272</v>
      </c>
      <c r="C719" s="41"/>
      <c r="D719" s="41"/>
      <c r="E719" s="41"/>
      <c r="F719" s="41"/>
      <c r="G719" s="41"/>
      <c r="H719" s="41"/>
      <c r="I719" s="41"/>
      <c r="J719" s="41"/>
      <c r="K719" s="41"/>
      <c r="L719" s="41"/>
      <c r="M719" s="41"/>
      <c r="N719" s="41"/>
      <c r="O719" s="41"/>
      <c r="P719" s="41"/>
      <c r="Q719" s="41"/>
      <c r="R719" s="41"/>
      <c r="S719" s="41"/>
      <c r="T719" s="41"/>
      <c r="U719" s="41"/>
    </row>
    <row r="721" spans="1:21" ht="28.8" x14ac:dyDescent="0.3">
      <c r="B721" s="19" t="s">
        <v>0</v>
      </c>
      <c r="C721" s="33" t="s">
        <v>229</v>
      </c>
      <c r="D721" s="34" t="s">
        <v>231</v>
      </c>
      <c r="E721" s="35" t="s">
        <v>232</v>
      </c>
      <c r="F721" s="38" t="s">
        <v>233</v>
      </c>
      <c r="G721" s="39"/>
      <c r="H721" s="38" t="s">
        <v>234</v>
      </c>
      <c r="I721" s="39"/>
      <c r="J721" s="38" t="s">
        <v>235</v>
      </c>
      <c r="K721" s="39"/>
      <c r="L721" s="39"/>
      <c r="M721" s="39"/>
      <c r="N721" s="38" t="s">
        <v>236</v>
      </c>
      <c r="O721" s="39"/>
      <c r="P721" s="39"/>
      <c r="Q721" s="39"/>
      <c r="R721" s="33" t="s">
        <v>1</v>
      </c>
      <c r="S721" s="15" t="s">
        <v>228</v>
      </c>
      <c r="T721" s="15" t="s">
        <v>2</v>
      </c>
      <c r="U721" s="15" t="s">
        <v>3</v>
      </c>
    </row>
    <row r="722" spans="1:21" x14ac:dyDescent="0.3">
      <c r="B722" s="23" cm="1">
        <f t="array" ref="B722:U724">'2. Master Tire Specs  '!C893:V895</f>
        <v>0</v>
      </c>
      <c r="C722" s="23">
        <v>0</v>
      </c>
      <c r="D722" s="24">
        <v>0</v>
      </c>
      <c r="E722" s="25">
        <v>0</v>
      </c>
      <c r="F722" s="25">
        <v>0</v>
      </c>
      <c r="G722" s="26">
        <v>0</v>
      </c>
      <c r="H722" s="26">
        <v>0</v>
      </c>
      <c r="I722" s="25">
        <v>0</v>
      </c>
      <c r="J722" s="26">
        <v>0</v>
      </c>
      <c r="K722" s="26">
        <v>0</v>
      </c>
      <c r="L722" s="26">
        <v>0</v>
      </c>
      <c r="M722" s="23">
        <v>0</v>
      </c>
      <c r="N722" s="26">
        <v>0</v>
      </c>
      <c r="O722" s="26">
        <v>0</v>
      </c>
      <c r="P722" s="23">
        <v>0</v>
      </c>
      <c r="Q722" s="23">
        <v>0</v>
      </c>
      <c r="R722" s="23">
        <v>0</v>
      </c>
      <c r="S722" s="2">
        <v>0</v>
      </c>
      <c r="T722" s="2">
        <v>0</v>
      </c>
      <c r="U722" s="2">
        <v>0</v>
      </c>
    </row>
    <row r="723" spans="1:21" x14ac:dyDescent="0.3">
      <c r="B723" s="23">
        <v>0</v>
      </c>
      <c r="C723" s="23">
        <v>0</v>
      </c>
      <c r="D723" s="24">
        <v>0</v>
      </c>
      <c r="E723" s="25">
        <v>0</v>
      </c>
      <c r="F723" s="25">
        <v>0</v>
      </c>
      <c r="G723" s="26">
        <v>0</v>
      </c>
      <c r="H723" s="26">
        <v>0</v>
      </c>
      <c r="I723" s="25">
        <v>0</v>
      </c>
      <c r="J723" s="26">
        <v>0</v>
      </c>
      <c r="K723" s="26">
        <v>0</v>
      </c>
      <c r="L723" s="26">
        <v>0</v>
      </c>
      <c r="M723" s="26">
        <v>0</v>
      </c>
      <c r="N723" s="26">
        <v>0</v>
      </c>
      <c r="O723" s="26">
        <v>0</v>
      </c>
      <c r="P723" s="23">
        <v>0</v>
      </c>
      <c r="Q723" s="23">
        <v>0</v>
      </c>
      <c r="R723" s="23">
        <v>0</v>
      </c>
      <c r="S723" s="2">
        <v>0</v>
      </c>
      <c r="T723" s="2">
        <v>0</v>
      </c>
      <c r="U723" s="2">
        <v>0</v>
      </c>
    </row>
    <row r="724" spans="1:21" x14ac:dyDescent="0.3">
      <c r="B724" s="23">
        <v>0</v>
      </c>
      <c r="C724" s="23">
        <v>0</v>
      </c>
      <c r="D724" s="24">
        <v>0</v>
      </c>
      <c r="E724" s="25">
        <v>0</v>
      </c>
      <c r="F724" s="25">
        <v>0</v>
      </c>
      <c r="G724" s="26">
        <v>0</v>
      </c>
      <c r="H724" s="26">
        <v>0</v>
      </c>
      <c r="I724" s="25">
        <v>0</v>
      </c>
      <c r="J724" s="26">
        <v>0</v>
      </c>
      <c r="K724" s="26">
        <v>0</v>
      </c>
      <c r="L724" s="26">
        <v>0</v>
      </c>
      <c r="M724" s="26">
        <v>0</v>
      </c>
      <c r="N724" s="26">
        <v>0</v>
      </c>
      <c r="O724" s="26">
        <v>0</v>
      </c>
      <c r="P724" s="23">
        <v>0</v>
      </c>
      <c r="Q724" s="23">
        <v>0</v>
      </c>
      <c r="R724" s="23">
        <v>0</v>
      </c>
      <c r="S724" s="2">
        <v>0</v>
      </c>
      <c r="T724" s="2">
        <v>0</v>
      </c>
      <c r="U724" s="2">
        <v>0</v>
      </c>
    </row>
    <row r="725" spans="1:21" x14ac:dyDescent="0.3">
      <c r="B725" s="23"/>
      <c r="C725" s="23"/>
      <c r="D725" s="24"/>
      <c r="E725" s="25"/>
      <c r="F725" s="25"/>
      <c r="G725" s="26"/>
      <c r="H725" s="26"/>
      <c r="I725" s="25"/>
      <c r="J725" s="26"/>
      <c r="K725" s="26"/>
      <c r="L725" s="26"/>
      <c r="M725" s="26"/>
      <c r="N725" s="26"/>
      <c r="O725" s="26"/>
      <c r="P725" s="23"/>
      <c r="Q725" s="23"/>
      <c r="R725" s="23"/>
      <c r="S725" s="2"/>
      <c r="T725" s="2"/>
      <c r="U725" s="2"/>
    </row>
    <row r="727" spans="1:21" x14ac:dyDescent="0.3">
      <c r="A727" s="42" t="s">
        <v>245</v>
      </c>
    </row>
    <row r="728" spans="1:21" x14ac:dyDescent="0.3">
      <c r="A728" s="42" t="s">
        <v>239</v>
      </c>
    </row>
    <row r="730" spans="1:21" x14ac:dyDescent="0.3">
      <c r="A730" s="42" t="s">
        <v>258</v>
      </c>
      <c r="B730" s="4"/>
    </row>
    <row r="731" spans="1:21" x14ac:dyDescent="0.3">
      <c r="A731" s="42" t="s">
        <v>252</v>
      </c>
      <c r="B731" s="4"/>
    </row>
    <row r="732" spans="1:21" x14ac:dyDescent="0.3">
      <c r="A732" s="42" t="s">
        <v>269</v>
      </c>
      <c r="B732" s="4"/>
    </row>
    <row r="734" spans="1:21" x14ac:dyDescent="0.3">
      <c r="A734" s="42" t="s">
        <v>268</v>
      </c>
    </row>
    <row r="739" spans="1:21" x14ac:dyDescent="0.3">
      <c r="A739" s="42" t="s">
        <v>260</v>
      </c>
    </row>
    <row r="740" spans="1:21" x14ac:dyDescent="0.3">
      <c r="A740" s="42" t="s">
        <v>261</v>
      </c>
    </row>
    <row r="741" spans="1:21" x14ac:dyDescent="0.3">
      <c r="A741" s="42" t="s">
        <v>259</v>
      </c>
      <c r="B741" s="4"/>
    </row>
    <row r="743" spans="1:21" x14ac:dyDescent="0.3">
      <c r="A743" s="42" t="s">
        <v>262</v>
      </c>
    </row>
    <row r="744" spans="1:21" x14ac:dyDescent="0.3">
      <c r="A744" s="42" t="s">
        <v>263</v>
      </c>
    </row>
    <row r="745" spans="1:21" x14ac:dyDescent="0.3">
      <c r="A745" s="42" t="s">
        <v>264</v>
      </c>
      <c r="B745" s="4"/>
    </row>
    <row r="747" spans="1:21" x14ac:dyDescent="0.3">
      <c r="A747" s="42" t="s">
        <v>265</v>
      </c>
    </row>
    <row r="748" spans="1:21" x14ac:dyDescent="0.3">
      <c r="A748" s="42" t="s">
        <v>266</v>
      </c>
    </row>
    <row r="749" spans="1:21" x14ac:dyDescent="0.3">
      <c r="A749" s="42" t="s">
        <v>267</v>
      </c>
      <c r="B749" s="4"/>
    </row>
    <row r="751" spans="1:21" x14ac:dyDescent="0.3">
      <c r="A751" s="44" t="s">
        <v>230</v>
      </c>
      <c r="B751" s="40" t="s">
        <v>272</v>
      </c>
      <c r="C751" s="41"/>
      <c r="D751" s="41"/>
      <c r="E751" s="41"/>
      <c r="F751" s="41"/>
      <c r="G751" s="41"/>
      <c r="H751" s="41"/>
      <c r="I751" s="41"/>
      <c r="J751" s="41"/>
      <c r="K751" s="41"/>
      <c r="L751" s="41"/>
      <c r="M751" s="41"/>
      <c r="N751" s="41"/>
      <c r="O751" s="41"/>
      <c r="P751" s="41"/>
      <c r="Q751" s="41"/>
      <c r="R751" s="41"/>
      <c r="S751" s="41"/>
      <c r="T751" s="41"/>
      <c r="U751" s="41"/>
    </row>
    <row r="753" spans="1:21" ht="28.8" x14ac:dyDescent="0.3">
      <c r="B753" s="19" t="s">
        <v>0</v>
      </c>
      <c r="C753" s="33" t="s">
        <v>229</v>
      </c>
      <c r="D753" s="34" t="s">
        <v>231</v>
      </c>
      <c r="E753" s="35" t="s">
        <v>232</v>
      </c>
      <c r="F753" s="38" t="s">
        <v>233</v>
      </c>
      <c r="G753" s="39"/>
      <c r="H753" s="38" t="s">
        <v>234</v>
      </c>
      <c r="I753" s="39"/>
      <c r="J753" s="38" t="s">
        <v>235</v>
      </c>
      <c r="K753" s="39"/>
      <c r="L753" s="39"/>
      <c r="M753" s="39"/>
      <c r="N753" s="38" t="s">
        <v>236</v>
      </c>
      <c r="O753" s="39"/>
      <c r="P753" s="39"/>
      <c r="Q753" s="39"/>
      <c r="R753" s="33" t="s">
        <v>1</v>
      </c>
      <c r="S753" s="15" t="s">
        <v>228</v>
      </c>
      <c r="T753" s="15" t="s">
        <v>2</v>
      </c>
      <c r="U753" s="15" t="s">
        <v>3</v>
      </c>
    </row>
    <row r="754" spans="1:21" x14ac:dyDescent="0.3">
      <c r="B754" s="23" cm="1">
        <f t="array" ref="B754:U756">'2. Master Tire Specs  '!C925:V927</f>
        <v>0</v>
      </c>
      <c r="C754" s="23">
        <v>0</v>
      </c>
      <c r="D754" s="24">
        <v>0</v>
      </c>
      <c r="E754" s="25">
        <v>0</v>
      </c>
      <c r="F754" s="25">
        <v>0</v>
      </c>
      <c r="G754" s="26">
        <v>0</v>
      </c>
      <c r="H754" s="26">
        <v>0</v>
      </c>
      <c r="I754" s="25">
        <v>0</v>
      </c>
      <c r="J754" s="26">
        <v>0</v>
      </c>
      <c r="K754" s="26">
        <v>0</v>
      </c>
      <c r="L754" s="26">
        <v>0</v>
      </c>
      <c r="M754" s="23">
        <v>0</v>
      </c>
      <c r="N754" s="26">
        <v>0</v>
      </c>
      <c r="O754" s="26">
        <v>0</v>
      </c>
      <c r="P754" s="23">
        <v>0</v>
      </c>
      <c r="Q754" s="23">
        <v>0</v>
      </c>
      <c r="R754" s="23">
        <v>0</v>
      </c>
      <c r="S754" s="2">
        <v>0</v>
      </c>
      <c r="T754" s="2">
        <v>0</v>
      </c>
      <c r="U754" s="2">
        <v>0</v>
      </c>
    </row>
    <row r="755" spans="1:21" x14ac:dyDescent="0.3">
      <c r="B755" s="23">
        <v>0</v>
      </c>
      <c r="C755" s="23">
        <v>0</v>
      </c>
      <c r="D755" s="24">
        <v>0</v>
      </c>
      <c r="E755" s="25">
        <v>0</v>
      </c>
      <c r="F755" s="25">
        <v>0</v>
      </c>
      <c r="G755" s="26">
        <v>0</v>
      </c>
      <c r="H755" s="26">
        <v>0</v>
      </c>
      <c r="I755" s="25">
        <v>0</v>
      </c>
      <c r="J755" s="26">
        <v>0</v>
      </c>
      <c r="K755" s="26">
        <v>0</v>
      </c>
      <c r="L755" s="26">
        <v>0</v>
      </c>
      <c r="M755" s="26">
        <v>0</v>
      </c>
      <c r="N755" s="26">
        <v>0</v>
      </c>
      <c r="O755" s="26">
        <v>0</v>
      </c>
      <c r="P755" s="23">
        <v>0</v>
      </c>
      <c r="Q755" s="23">
        <v>0</v>
      </c>
      <c r="R755" s="23">
        <v>0</v>
      </c>
      <c r="S755" s="2">
        <v>0</v>
      </c>
      <c r="T755" s="2">
        <v>0</v>
      </c>
      <c r="U755" s="2">
        <v>0</v>
      </c>
    </row>
    <row r="756" spans="1:21" x14ac:dyDescent="0.3">
      <c r="B756" s="23">
        <v>0</v>
      </c>
      <c r="C756" s="23">
        <v>0</v>
      </c>
      <c r="D756" s="24">
        <v>0</v>
      </c>
      <c r="E756" s="25">
        <v>0</v>
      </c>
      <c r="F756" s="25">
        <v>0</v>
      </c>
      <c r="G756" s="26">
        <v>0</v>
      </c>
      <c r="H756" s="26">
        <v>0</v>
      </c>
      <c r="I756" s="25">
        <v>0</v>
      </c>
      <c r="J756" s="26">
        <v>0</v>
      </c>
      <c r="K756" s="26">
        <v>0</v>
      </c>
      <c r="L756" s="26">
        <v>0</v>
      </c>
      <c r="M756" s="26">
        <v>0</v>
      </c>
      <c r="N756" s="26">
        <v>0</v>
      </c>
      <c r="O756" s="26">
        <v>0</v>
      </c>
      <c r="P756" s="23">
        <v>0</v>
      </c>
      <c r="Q756" s="23">
        <v>0</v>
      </c>
      <c r="R756" s="23">
        <v>0</v>
      </c>
      <c r="S756" s="2">
        <v>0</v>
      </c>
      <c r="T756" s="2">
        <v>0</v>
      </c>
      <c r="U756" s="2">
        <v>0</v>
      </c>
    </row>
    <row r="757" spans="1:21" x14ac:dyDescent="0.3">
      <c r="B757" s="23"/>
      <c r="C757" s="23"/>
      <c r="D757" s="24"/>
      <c r="E757" s="25"/>
      <c r="F757" s="25"/>
      <c r="G757" s="26"/>
      <c r="H757" s="26"/>
      <c r="I757" s="25"/>
      <c r="J757" s="26"/>
      <c r="K757" s="26"/>
      <c r="L757" s="26"/>
      <c r="M757" s="26"/>
      <c r="N757" s="26"/>
      <c r="O757" s="26"/>
      <c r="P757" s="23"/>
      <c r="Q757" s="23"/>
      <c r="R757" s="23"/>
      <c r="S757" s="2"/>
      <c r="T757" s="2"/>
      <c r="U757" s="2"/>
    </row>
    <row r="759" spans="1:21" x14ac:dyDescent="0.3">
      <c r="A759" s="42" t="s">
        <v>245</v>
      </c>
    </row>
    <row r="760" spans="1:21" x14ac:dyDescent="0.3">
      <c r="A760" s="42" t="s">
        <v>239</v>
      </c>
    </row>
    <row r="762" spans="1:21" x14ac:dyDescent="0.3">
      <c r="A762" s="42" t="s">
        <v>258</v>
      </c>
      <c r="B762" s="4"/>
    </row>
    <row r="763" spans="1:21" x14ac:dyDescent="0.3">
      <c r="A763" s="42" t="s">
        <v>252</v>
      </c>
      <c r="B763" s="4"/>
    </row>
    <row r="764" spans="1:21" x14ac:dyDescent="0.3">
      <c r="A764" s="42" t="s">
        <v>269</v>
      </c>
      <c r="B764" s="4"/>
    </row>
    <row r="766" spans="1:21" x14ac:dyDescent="0.3">
      <c r="A766" s="42" t="s">
        <v>268</v>
      </c>
    </row>
    <row r="771" spans="1:21" x14ac:dyDescent="0.3">
      <c r="A771" s="42" t="s">
        <v>260</v>
      </c>
    </row>
    <row r="772" spans="1:21" x14ac:dyDescent="0.3">
      <c r="A772" s="42" t="s">
        <v>261</v>
      </c>
    </row>
    <row r="773" spans="1:21" x14ac:dyDescent="0.3">
      <c r="A773" s="42" t="s">
        <v>259</v>
      </c>
      <c r="B773" s="4"/>
    </row>
    <row r="775" spans="1:21" x14ac:dyDescent="0.3">
      <c r="A775" s="42" t="s">
        <v>262</v>
      </c>
    </row>
    <row r="776" spans="1:21" x14ac:dyDescent="0.3">
      <c r="A776" s="42" t="s">
        <v>263</v>
      </c>
    </row>
    <row r="777" spans="1:21" x14ac:dyDescent="0.3">
      <c r="A777" s="42" t="s">
        <v>264</v>
      </c>
      <c r="B777" s="4"/>
    </row>
    <row r="779" spans="1:21" x14ac:dyDescent="0.3">
      <c r="A779" s="42" t="s">
        <v>265</v>
      </c>
    </row>
    <row r="780" spans="1:21" x14ac:dyDescent="0.3">
      <c r="A780" s="42" t="s">
        <v>266</v>
      </c>
    </row>
    <row r="781" spans="1:21" x14ac:dyDescent="0.3">
      <c r="A781" s="42" t="s">
        <v>267</v>
      </c>
      <c r="B781" s="4"/>
    </row>
    <row r="784" spans="1:21" x14ac:dyDescent="0.3">
      <c r="A784" s="44" t="s">
        <v>230</v>
      </c>
      <c r="B784" s="40" t="s">
        <v>272</v>
      </c>
      <c r="C784" s="41"/>
      <c r="D784" s="41"/>
      <c r="E784" s="41"/>
      <c r="F784" s="41"/>
      <c r="G784" s="41"/>
      <c r="H784" s="41"/>
      <c r="I784" s="41"/>
      <c r="J784" s="41"/>
      <c r="K784" s="41"/>
      <c r="L784" s="41"/>
      <c r="M784" s="41"/>
      <c r="N784" s="41"/>
      <c r="O784" s="41"/>
      <c r="P784" s="41"/>
      <c r="Q784" s="41"/>
      <c r="R784" s="41"/>
      <c r="S784" s="41"/>
      <c r="T784" s="41"/>
      <c r="U784" s="41"/>
    </row>
    <row r="786" spans="1:21" ht="28.8" x14ac:dyDescent="0.3">
      <c r="B786" s="19" t="s">
        <v>0</v>
      </c>
      <c r="C786" s="33" t="s">
        <v>229</v>
      </c>
      <c r="D786" s="34" t="s">
        <v>231</v>
      </c>
      <c r="E786" s="35" t="s">
        <v>232</v>
      </c>
      <c r="F786" s="38" t="s">
        <v>233</v>
      </c>
      <c r="G786" s="39"/>
      <c r="H786" s="38" t="s">
        <v>234</v>
      </c>
      <c r="I786" s="39"/>
      <c r="J786" s="38" t="s">
        <v>235</v>
      </c>
      <c r="K786" s="39"/>
      <c r="L786" s="39"/>
      <c r="M786" s="39"/>
      <c r="N786" s="38" t="s">
        <v>236</v>
      </c>
      <c r="O786" s="39"/>
      <c r="P786" s="39"/>
      <c r="Q786" s="39"/>
      <c r="R786" s="33" t="s">
        <v>1</v>
      </c>
      <c r="S786" s="15" t="s">
        <v>228</v>
      </c>
      <c r="T786" s="15" t="s">
        <v>2</v>
      </c>
      <c r="U786" s="15" t="s">
        <v>3</v>
      </c>
    </row>
    <row r="787" spans="1:21" x14ac:dyDescent="0.3">
      <c r="B787" s="23" cm="1">
        <f t="array" ref="B787:U789">'2. Master Tire Specs  '!C958:V960</f>
        <v>0</v>
      </c>
      <c r="C787" s="23">
        <v>0</v>
      </c>
      <c r="D787" s="24">
        <v>0</v>
      </c>
      <c r="E787" s="25">
        <v>0</v>
      </c>
      <c r="F787" s="25">
        <v>0</v>
      </c>
      <c r="G787" s="26">
        <v>0</v>
      </c>
      <c r="H787" s="26">
        <v>0</v>
      </c>
      <c r="I787" s="25">
        <v>0</v>
      </c>
      <c r="J787" s="26">
        <v>0</v>
      </c>
      <c r="K787" s="26">
        <v>0</v>
      </c>
      <c r="L787" s="26">
        <v>0</v>
      </c>
      <c r="M787" s="23">
        <v>0</v>
      </c>
      <c r="N787" s="26">
        <v>0</v>
      </c>
      <c r="O787" s="26">
        <v>0</v>
      </c>
      <c r="P787" s="23">
        <v>0</v>
      </c>
      <c r="Q787" s="23">
        <v>0</v>
      </c>
      <c r="R787" s="23">
        <v>0</v>
      </c>
      <c r="S787" s="2">
        <v>0</v>
      </c>
      <c r="T787" s="2">
        <v>0</v>
      </c>
      <c r="U787" s="2">
        <v>0</v>
      </c>
    </row>
    <row r="788" spans="1:21" x14ac:dyDescent="0.3">
      <c r="B788" s="23">
        <v>0</v>
      </c>
      <c r="C788" s="23">
        <v>0</v>
      </c>
      <c r="D788" s="24">
        <v>0</v>
      </c>
      <c r="E788" s="25">
        <v>0</v>
      </c>
      <c r="F788" s="25">
        <v>0</v>
      </c>
      <c r="G788" s="26">
        <v>0</v>
      </c>
      <c r="H788" s="26">
        <v>0</v>
      </c>
      <c r="I788" s="25">
        <v>0</v>
      </c>
      <c r="J788" s="26">
        <v>0</v>
      </c>
      <c r="K788" s="26">
        <v>0</v>
      </c>
      <c r="L788" s="26">
        <v>0</v>
      </c>
      <c r="M788" s="26">
        <v>0</v>
      </c>
      <c r="N788" s="26">
        <v>0</v>
      </c>
      <c r="O788" s="26">
        <v>0</v>
      </c>
      <c r="P788" s="23">
        <v>0</v>
      </c>
      <c r="Q788" s="23">
        <v>0</v>
      </c>
      <c r="R788" s="23">
        <v>0</v>
      </c>
      <c r="S788" s="2">
        <v>0</v>
      </c>
      <c r="T788" s="2">
        <v>0</v>
      </c>
      <c r="U788" s="2">
        <v>0</v>
      </c>
    </row>
    <row r="789" spans="1:21" x14ac:dyDescent="0.3">
      <c r="B789" s="23">
        <v>0</v>
      </c>
      <c r="C789" s="23">
        <v>0</v>
      </c>
      <c r="D789" s="24">
        <v>0</v>
      </c>
      <c r="E789" s="25">
        <v>0</v>
      </c>
      <c r="F789" s="25">
        <v>0</v>
      </c>
      <c r="G789" s="26">
        <v>0</v>
      </c>
      <c r="H789" s="26">
        <v>0</v>
      </c>
      <c r="I789" s="25">
        <v>0</v>
      </c>
      <c r="J789" s="26">
        <v>0</v>
      </c>
      <c r="K789" s="26">
        <v>0</v>
      </c>
      <c r="L789" s="26">
        <v>0</v>
      </c>
      <c r="M789" s="26">
        <v>0</v>
      </c>
      <c r="N789" s="26">
        <v>0</v>
      </c>
      <c r="O789" s="26">
        <v>0</v>
      </c>
      <c r="P789" s="23">
        <v>0</v>
      </c>
      <c r="Q789" s="23">
        <v>0</v>
      </c>
      <c r="R789" s="23">
        <v>0</v>
      </c>
      <c r="S789" s="2">
        <v>0</v>
      </c>
      <c r="T789" s="2">
        <v>0</v>
      </c>
      <c r="U789" s="2">
        <v>0</v>
      </c>
    </row>
    <row r="790" spans="1:21" x14ac:dyDescent="0.3">
      <c r="B790" s="23"/>
      <c r="C790" s="23"/>
      <c r="D790" s="24"/>
      <c r="E790" s="25"/>
      <c r="F790" s="25"/>
      <c r="G790" s="26"/>
      <c r="H790" s="26"/>
      <c r="I790" s="25"/>
      <c r="J790" s="26"/>
      <c r="K790" s="26"/>
      <c r="L790" s="26"/>
      <c r="M790" s="26"/>
      <c r="N790" s="26"/>
      <c r="O790" s="26"/>
      <c r="P790" s="23"/>
      <c r="Q790" s="23"/>
      <c r="R790" s="23"/>
      <c r="S790" s="2"/>
      <c r="T790" s="2"/>
      <c r="U790" s="2"/>
    </row>
    <row r="792" spans="1:21" x14ac:dyDescent="0.3">
      <c r="A792" s="42" t="s">
        <v>245</v>
      </c>
    </row>
    <row r="793" spans="1:21" x14ac:dyDescent="0.3">
      <c r="A793" s="42" t="s">
        <v>239</v>
      </c>
    </row>
    <row r="795" spans="1:21" x14ac:dyDescent="0.3">
      <c r="A795" s="42" t="s">
        <v>258</v>
      </c>
      <c r="B795" s="4"/>
    </row>
    <row r="796" spans="1:21" x14ac:dyDescent="0.3">
      <c r="A796" s="42" t="s">
        <v>252</v>
      </c>
      <c r="B796" s="4"/>
    </row>
    <row r="797" spans="1:21" x14ac:dyDescent="0.3">
      <c r="A797" s="42" t="s">
        <v>269</v>
      </c>
      <c r="B797" s="4"/>
    </row>
    <row r="799" spans="1:21" x14ac:dyDescent="0.3">
      <c r="A799" s="42" t="s">
        <v>268</v>
      </c>
    </row>
    <row r="804" spans="1:21" x14ac:dyDescent="0.3">
      <c r="A804" s="42" t="s">
        <v>260</v>
      </c>
    </row>
    <row r="805" spans="1:21" x14ac:dyDescent="0.3">
      <c r="A805" s="42" t="s">
        <v>261</v>
      </c>
    </row>
    <row r="806" spans="1:21" x14ac:dyDescent="0.3">
      <c r="A806" s="42" t="s">
        <v>259</v>
      </c>
      <c r="B806" s="4"/>
    </row>
    <row r="808" spans="1:21" x14ac:dyDescent="0.3">
      <c r="A808" s="42" t="s">
        <v>262</v>
      </c>
    </row>
    <row r="809" spans="1:21" x14ac:dyDescent="0.3">
      <c r="A809" s="42" t="s">
        <v>263</v>
      </c>
    </row>
    <row r="810" spans="1:21" x14ac:dyDescent="0.3">
      <c r="A810" s="42" t="s">
        <v>264</v>
      </c>
      <c r="B810" s="4"/>
    </row>
    <row r="812" spans="1:21" x14ac:dyDescent="0.3">
      <c r="A812" s="42" t="s">
        <v>265</v>
      </c>
    </row>
    <row r="813" spans="1:21" x14ac:dyDescent="0.3">
      <c r="A813" s="42" t="s">
        <v>266</v>
      </c>
    </row>
    <row r="814" spans="1:21" x14ac:dyDescent="0.3">
      <c r="A814" s="42" t="s">
        <v>267</v>
      </c>
      <c r="B814" s="4"/>
    </row>
    <row r="816" spans="1:21" x14ac:dyDescent="0.3">
      <c r="A816" s="44" t="s">
        <v>230</v>
      </c>
      <c r="B816" s="40" t="s">
        <v>272</v>
      </c>
      <c r="C816" s="41"/>
      <c r="D816" s="41"/>
      <c r="E816" s="41"/>
      <c r="F816" s="41"/>
      <c r="G816" s="41"/>
      <c r="H816" s="41"/>
      <c r="I816" s="41"/>
      <c r="J816" s="41"/>
      <c r="K816" s="41"/>
      <c r="L816" s="41"/>
      <c r="M816" s="41"/>
      <c r="N816" s="41"/>
      <c r="O816" s="41"/>
      <c r="P816" s="41"/>
      <c r="Q816" s="41"/>
      <c r="R816" s="41"/>
      <c r="S816" s="41"/>
      <c r="T816" s="41"/>
      <c r="U816" s="41"/>
    </row>
    <row r="818" spans="1:21" ht="28.8" x14ac:dyDescent="0.3">
      <c r="B818" s="19" t="s">
        <v>0</v>
      </c>
      <c r="C818" s="33" t="s">
        <v>229</v>
      </c>
      <c r="D818" s="34" t="s">
        <v>231</v>
      </c>
      <c r="E818" s="35" t="s">
        <v>232</v>
      </c>
      <c r="F818" s="38" t="s">
        <v>233</v>
      </c>
      <c r="G818" s="39"/>
      <c r="H818" s="38" t="s">
        <v>234</v>
      </c>
      <c r="I818" s="39"/>
      <c r="J818" s="38" t="s">
        <v>235</v>
      </c>
      <c r="K818" s="39"/>
      <c r="L818" s="39"/>
      <c r="M818" s="39"/>
      <c r="N818" s="38" t="s">
        <v>236</v>
      </c>
      <c r="O818" s="39"/>
      <c r="P818" s="39"/>
      <c r="Q818" s="39"/>
      <c r="R818" s="33" t="s">
        <v>1</v>
      </c>
      <c r="S818" s="15" t="s">
        <v>228</v>
      </c>
      <c r="T818" s="15" t="s">
        <v>2</v>
      </c>
      <c r="U818" s="15" t="s">
        <v>3</v>
      </c>
    </row>
    <row r="819" spans="1:21" x14ac:dyDescent="0.3">
      <c r="B819" s="23" cm="1">
        <f t="array" ref="B819:U821">'2. Master Tire Specs  '!C990:V992</f>
        <v>0</v>
      </c>
      <c r="C819" s="23">
        <v>0</v>
      </c>
      <c r="D819" s="24">
        <v>0</v>
      </c>
      <c r="E819" s="25">
        <v>0</v>
      </c>
      <c r="F819" s="25">
        <v>0</v>
      </c>
      <c r="G819" s="26">
        <v>0</v>
      </c>
      <c r="H819" s="26">
        <v>0</v>
      </c>
      <c r="I819" s="25">
        <v>0</v>
      </c>
      <c r="J819" s="26">
        <v>0</v>
      </c>
      <c r="K819" s="26">
        <v>0</v>
      </c>
      <c r="L819" s="26">
        <v>0</v>
      </c>
      <c r="M819" s="23">
        <v>0</v>
      </c>
      <c r="N819" s="26">
        <v>0</v>
      </c>
      <c r="O819" s="26">
        <v>0</v>
      </c>
      <c r="P819" s="23">
        <v>0</v>
      </c>
      <c r="Q819" s="23">
        <v>0</v>
      </c>
      <c r="R819" s="23">
        <v>0</v>
      </c>
      <c r="S819" s="2">
        <v>0</v>
      </c>
      <c r="T819" s="2">
        <v>0</v>
      </c>
      <c r="U819" s="2">
        <v>0</v>
      </c>
    </row>
    <row r="820" spans="1:21" x14ac:dyDescent="0.3">
      <c r="B820" s="23">
        <v>0</v>
      </c>
      <c r="C820" s="23">
        <v>0</v>
      </c>
      <c r="D820" s="24">
        <v>0</v>
      </c>
      <c r="E820" s="25">
        <v>0</v>
      </c>
      <c r="F820" s="25">
        <v>0</v>
      </c>
      <c r="G820" s="26">
        <v>0</v>
      </c>
      <c r="H820" s="26">
        <v>0</v>
      </c>
      <c r="I820" s="25">
        <v>0</v>
      </c>
      <c r="J820" s="26">
        <v>0</v>
      </c>
      <c r="K820" s="26">
        <v>0</v>
      </c>
      <c r="L820" s="26">
        <v>0</v>
      </c>
      <c r="M820" s="26">
        <v>0</v>
      </c>
      <c r="N820" s="26">
        <v>0</v>
      </c>
      <c r="O820" s="26">
        <v>0</v>
      </c>
      <c r="P820" s="23">
        <v>0</v>
      </c>
      <c r="Q820" s="23">
        <v>0</v>
      </c>
      <c r="R820" s="23">
        <v>0</v>
      </c>
      <c r="S820" s="2">
        <v>0</v>
      </c>
      <c r="T820" s="2">
        <v>0</v>
      </c>
      <c r="U820" s="2">
        <v>0</v>
      </c>
    </row>
    <row r="821" spans="1:21" x14ac:dyDescent="0.3">
      <c r="B821" s="23">
        <v>0</v>
      </c>
      <c r="C821" s="23">
        <v>0</v>
      </c>
      <c r="D821" s="24">
        <v>0</v>
      </c>
      <c r="E821" s="25">
        <v>0</v>
      </c>
      <c r="F821" s="25">
        <v>0</v>
      </c>
      <c r="G821" s="26">
        <v>0</v>
      </c>
      <c r="H821" s="26">
        <v>0</v>
      </c>
      <c r="I821" s="25">
        <v>0</v>
      </c>
      <c r="J821" s="26">
        <v>0</v>
      </c>
      <c r="K821" s="26">
        <v>0</v>
      </c>
      <c r="L821" s="26">
        <v>0</v>
      </c>
      <c r="M821" s="26">
        <v>0</v>
      </c>
      <c r="N821" s="26">
        <v>0</v>
      </c>
      <c r="O821" s="26">
        <v>0</v>
      </c>
      <c r="P821" s="23">
        <v>0</v>
      </c>
      <c r="Q821" s="23">
        <v>0</v>
      </c>
      <c r="R821" s="23">
        <v>0</v>
      </c>
      <c r="S821" s="2">
        <v>0</v>
      </c>
      <c r="T821" s="2">
        <v>0</v>
      </c>
      <c r="U821" s="2">
        <v>0</v>
      </c>
    </row>
    <row r="822" spans="1:21" x14ac:dyDescent="0.3">
      <c r="B822" s="23"/>
      <c r="C822" s="23"/>
      <c r="D822" s="24"/>
      <c r="E822" s="25"/>
      <c r="F822" s="25"/>
      <c r="G822" s="26"/>
      <c r="H822" s="26"/>
      <c r="I822" s="25"/>
      <c r="J822" s="26"/>
      <c r="K822" s="26"/>
      <c r="L822" s="26"/>
      <c r="M822" s="26"/>
      <c r="N822" s="26"/>
      <c r="O822" s="26"/>
      <c r="P822" s="23"/>
      <c r="Q822" s="23"/>
      <c r="R822" s="23"/>
      <c r="S822" s="2"/>
      <c r="T822" s="2"/>
      <c r="U822" s="2"/>
    </row>
    <row r="824" spans="1:21" x14ac:dyDescent="0.3">
      <c r="A824" s="42" t="s">
        <v>245</v>
      </c>
    </row>
    <row r="825" spans="1:21" x14ac:dyDescent="0.3">
      <c r="A825" s="42" t="s">
        <v>239</v>
      </c>
    </row>
    <row r="827" spans="1:21" x14ac:dyDescent="0.3">
      <c r="A827" s="42" t="s">
        <v>258</v>
      </c>
      <c r="B827" s="4"/>
    </row>
    <row r="828" spans="1:21" x14ac:dyDescent="0.3">
      <c r="A828" s="42" t="s">
        <v>252</v>
      </c>
      <c r="B828" s="4"/>
    </row>
    <row r="829" spans="1:21" x14ac:dyDescent="0.3">
      <c r="A829" s="42" t="s">
        <v>269</v>
      </c>
      <c r="B829" s="4"/>
    </row>
    <row r="831" spans="1:21" x14ac:dyDescent="0.3">
      <c r="A831" s="42" t="s">
        <v>268</v>
      </c>
    </row>
    <row r="836" spans="1:2" x14ac:dyDescent="0.3">
      <c r="A836" s="42" t="s">
        <v>260</v>
      </c>
    </row>
    <row r="837" spans="1:2" x14ac:dyDescent="0.3">
      <c r="A837" s="42" t="s">
        <v>261</v>
      </c>
    </row>
    <row r="838" spans="1:2" x14ac:dyDescent="0.3">
      <c r="A838" s="42" t="s">
        <v>259</v>
      </c>
      <c r="B838" s="4"/>
    </row>
    <row r="840" spans="1:2" x14ac:dyDescent="0.3">
      <c r="A840" s="42" t="s">
        <v>262</v>
      </c>
    </row>
    <row r="841" spans="1:2" x14ac:dyDescent="0.3">
      <c r="A841" s="42" t="s">
        <v>263</v>
      </c>
    </row>
    <row r="842" spans="1:2" x14ac:dyDescent="0.3">
      <c r="A842" s="42" t="s">
        <v>264</v>
      </c>
      <c r="B842" s="4"/>
    </row>
    <row r="844" spans="1:2" x14ac:dyDescent="0.3">
      <c r="A844" s="42" t="s">
        <v>265</v>
      </c>
    </row>
    <row r="845" spans="1:2" x14ac:dyDescent="0.3">
      <c r="A845" s="42" t="s">
        <v>266</v>
      </c>
    </row>
    <row r="846" spans="1:2" x14ac:dyDescent="0.3">
      <c r="A846" s="42" t="s">
        <v>267</v>
      </c>
      <c r="B846" s="4"/>
    </row>
    <row r="849" spans="1:21" x14ac:dyDescent="0.3">
      <c r="A849" s="44" t="s">
        <v>230</v>
      </c>
      <c r="B849" s="40" t="s">
        <v>272</v>
      </c>
      <c r="C849" s="41"/>
      <c r="D849" s="41"/>
      <c r="E849" s="41"/>
      <c r="F849" s="41"/>
      <c r="G849" s="41"/>
      <c r="H849" s="41"/>
      <c r="I849" s="41"/>
      <c r="J849" s="41"/>
      <c r="K849" s="41"/>
      <c r="L849" s="41"/>
      <c r="M849" s="41"/>
      <c r="N849" s="41"/>
      <c r="O849" s="41"/>
      <c r="P849" s="41"/>
      <c r="Q849" s="41"/>
      <c r="R849" s="41"/>
      <c r="S849" s="41"/>
      <c r="T849" s="41"/>
      <c r="U849" s="41"/>
    </row>
    <row r="851" spans="1:21" ht="28.8" x14ac:dyDescent="0.3">
      <c r="B851" s="19" t="s">
        <v>0</v>
      </c>
      <c r="C851" s="33" t="s">
        <v>229</v>
      </c>
      <c r="D851" s="34" t="s">
        <v>231</v>
      </c>
      <c r="E851" s="35" t="s">
        <v>232</v>
      </c>
      <c r="F851" s="38" t="s">
        <v>233</v>
      </c>
      <c r="G851" s="39"/>
      <c r="H851" s="38" t="s">
        <v>234</v>
      </c>
      <c r="I851" s="39"/>
      <c r="J851" s="38" t="s">
        <v>235</v>
      </c>
      <c r="K851" s="39"/>
      <c r="L851" s="39"/>
      <c r="M851" s="39"/>
      <c r="N851" s="38" t="s">
        <v>236</v>
      </c>
      <c r="O851" s="39"/>
      <c r="P851" s="39"/>
      <c r="Q851" s="39"/>
      <c r="R851" s="33" t="s">
        <v>1</v>
      </c>
      <c r="S851" s="15" t="s">
        <v>228</v>
      </c>
      <c r="T851" s="15" t="s">
        <v>2</v>
      </c>
      <c r="U851" s="15" t="s">
        <v>3</v>
      </c>
    </row>
    <row r="852" spans="1:21" x14ac:dyDescent="0.3">
      <c r="B852" s="23" cm="1">
        <f t="array" ref="B852:U854">'2. Master Tire Specs  '!C1023:V1025</f>
        <v>0</v>
      </c>
      <c r="C852" s="23">
        <v>0</v>
      </c>
      <c r="D852" s="24">
        <v>0</v>
      </c>
      <c r="E852" s="25">
        <v>0</v>
      </c>
      <c r="F852" s="25">
        <v>0</v>
      </c>
      <c r="G852" s="26">
        <v>0</v>
      </c>
      <c r="H852" s="26">
        <v>0</v>
      </c>
      <c r="I852" s="25">
        <v>0</v>
      </c>
      <c r="J852" s="26">
        <v>0</v>
      </c>
      <c r="K852" s="26">
        <v>0</v>
      </c>
      <c r="L852" s="26">
        <v>0</v>
      </c>
      <c r="M852" s="23">
        <v>0</v>
      </c>
      <c r="N852" s="26">
        <v>0</v>
      </c>
      <c r="O852" s="26">
        <v>0</v>
      </c>
      <c r="P852" s="23">
        <v>0</v>
      </c>
      <c r="Q852" s="23">
        <v>0</v>
      </c>
      <c r="R852" s="23">
        <v>0</v>
      </c>
      <c r="S852" s="2">
        <v>0</v>
      </c>
      <c r="T852" s="2">
        <v>0</v>
      </c>
      <c r="U852" s="2">
        <v>0</v>
      </c>
    </row>
    <row r="853" spans="1:21" x14ac:dyDescent="0.3">
      <c r="B853" s="23">
        <v>0</v>
      </c>
      <c r="C853" s="23">
        <v>0</v>
      </c>
      <c r="D853" s="24">
        <v>0</v>
      </c>
      <c r="E853" s="25">
        <v>0</v>
      </c>
      <c r="F853" s="25">
        <v>0</v>
      </c>
      <c r="G853" s="26">
        <v>0</v>
      </c>
      <c r="H853" s="26">
        <v>0</v>
      </c>
      <c r="I853" s="25">
        <v>0</v>
      </c>
      <c r="J853" s="26">
        <v>0</v>
      </c>
      <c r="K853" s="26">
        <v>0</v>
      </c>
      <c r="L853" s="26">
        <v>0</v>
      </c>
      <c r="M853" s="26">
        <v>0</v>
      </c>
      <c r="N853" s="26">
        <v>0</v>
      </c>
      <c r="O853" s="26">
        <v>0</v>
      </c>
      <c r="P853" s="23">
        <v>0</v>
      </c>
      <c r="Q853" s="23">
        <v>0</v>
      </c>
      <c r="R853" s="23">
        <v>0</v>
      </c>
      <c r="S853" s="2">
        <v>0</v>
      </c>
      <c r="T853" s="2">
        <v>0</v>
      </c>
      <c r="U853" s="2">
        <v>0</v>
      </c>
    </row>
    <row r="854" spans="1:21" x14ac:dyDescent="0.3">
      <c r="B854" s="23">
        <v>0</v>
      </c>
      <c r="C854" s="23">
        <v>0</v>
      </c>
      <c r="D854" s="24">
        <v>0</v>
      </c>
      <c r="E854" s="25">
        <v>0</v>
      </c>
      <c r="F854" s="25">
        <v>0</v>
      </c>
      <c r="G854" s="26">
        <v>0</v>
      </c>
      <c r="H854" s="26">
        <v>0</v>
      </c>
      <c r="I854" s="25">
        <v>0</v>
      </c>
      <c r="J854" s="26">
        <v>0</v>
      </c>
      <c r="K854" s="26">
        <v>0</v>
      </c>
      <c r="L854" s="26">
        <v>0</v>
      </c>
      <c r="M854" s="26">
        <v>0</v>
      </c>
      <c r="N854" s="26">
        <v>0</v>
      </c>
      <c r="O854" s="26">
        <v>0</v>
      </c>
      <c r="P854" s="23">
        <v>0</v>
      </c>
      <c r="Q854" s="23">
        <v>0</v>
      </c>
      <c r="R854" s="23">
        <v>0</v>
      </c>
      <c r="S854" s="2">
        <v>0</v>
      </c>
      <c r="T854" s="2">
        <v>0</v>
      </c>
      <c r="U854" s="2">
        <v>0</v>
      </c>
    </row>
    <row r="855" spans="1:21" x14ac:dyDescent="0.3">
      <c r="B855" s="23"/>
      <c r="C855" s="23"/>
      <c r="D855" s="24"/>
      <c r="E855" s="25"/>
      <c r="F855" s="25"/>
      <c r="G855" s="26"/>
      <c r="H855" s="26"/>
      <c r="I855" s="25"/>
      <c r="J855" s="26"/>
      <c r="K855" s="26"/>
      <c r="L855" s="26"/>
      <c r="M855" s="26"/>
      <c r="N855" s="26"/>
      <c r="O855" s="26"/>
      <c r="P855" s="23"/>
      <c r="Q855" s="23"/>
      <c r="R855" s="23"/>
      <c r="S855" s="2"/>
      <c r="T855" s="2"/>
      <c r="U855" s="2"/>
    </row>
    <row r="857" spans="1:21" x14ac:dyDescent="0.3">
      <c r="A857" s="42" t="s">
        <v>245</v>
      </c>
    </row>
    <row r="858" spans="1:21" x14ac:dyDescent="0.3">
      <c r="A858" s="42" t="s">
        <v>239</v>
      </c>
    </row>
    <row r="860" spans="1:21" x14ac:dyDescent="0.3">
      <c r="A860" s="42" t="s">
        <v>258</v>
      </c>
      <c r="B860" s="4"/>
    </row>
    <row r="861" spans="1:21" x14ac:dyDescent="0.3">
      <c r="A861" s="42" t="s">
        <v>252</v>
      </c>
      <c r="B861" s="4"/>
    </row>
    <row r="862" spans="1:21" x14ac:dyDescent="0.3">
      <c r="A862" s="42" t="s">
        <v>269</v>
      </c>
      <c r="B862" s="4"/>
    </row>
    <row r="864" spans="1:21" x14ac:dyDescent="0.3">
      <c r="A864" s="42" t="s">
        <v>268</v>
      </c>
    </row>
    <row r="869" spans="1:2" x14ac:dyDescent="0.3">
      <c r="A869" s="42" t="s">
        <v>260</v>
      </c>
    </row>
    <row r="870" spans="1:2" x14ac:dyDescent="0.3">
      <c r="A870" s="42" t="s">
        <v>261</v>
      </c>
    </row>
    <row r="871" spans="1:2" x14ac:dyDescent="0.3">
      <c r="A871" s="42" t="s">
        <v>259</v>
      </c>
      <c r="B871" s="4"/>
    </row>
    <row r="873" spans="1:2" x14ac:dyDescent="0.3">
      <c r="A873" s="42" t="s">
        <v>262</v>
      </c>
    </row>
    <row r="874" spans="1:2" x14ac:dyDescent="0.3">
      <c r="A874" s="42" t="s">
        <v>263</v>
      </c>
    </row>
    <row r="875" spans="1:2" x14ac:dyDescent="0.3">
      <c r="A875" s="42" t="s">
        <v>264</v>
      </c>
      <c r="B875" s="4"/>
    </row>
    <row r="877" spans="1:2" x14ac:dyDescent="0.3">
      <c r="A877" s="42" t="s">
        <v>265</v>
      </c>
    </row>
    <row r="878" spans="1:2" x14ac:dyDescent="0.3">
      <c r="A878" s="42" t="s">
        <v>266</v>
      </c>
    </row>
    <row r="879" spans="1:2" x14ac:dyDescent="0.3">
      <c r="A879" s="42" t="s">
        <v>267</v>
      </c>
      <c r="B879" s="4"/>
    </row>
    <row r="882" spans="1:21" x14ac:dyDescent="0.3">
      <c r="A882" s="44" t="s">
        <v>230</v>
      </c>
      <c r="B882" s="40" t="s">
        <v>272</v>
      </c>
      <c r="C882" s="41"/>
      <c r="D882" s="41"/>
      <c r="E882" s="41"/>
      <c r="F882" s="41"/>
      <c r="G882" s="41"/>
      <c r="H882" s="41"/>
      <c r="I882" s="41"/>
      <c r="J882" s="41"/>
      <c r="K882" s="41"/>
      <c r="L882" s="41"/>
      <c r="M882" s="41"/>
      <c r="N882" s="41"/>
      <c r="O882" s="41"/>
      <c r="P882" s="41"/>
      <c r="Q882" s="41"/>
      <c r="R882" s="41"/>
      <c r="S882" s="41"/>
      <c r="T882" s="41"/>
      <c r="U882" s="41"/>
    </row>
    <row r="884" spans="1:21" ht="28.8" x14ac:dyDescent="0.3">
      <c r="B884" s="19" t="s">
        <v>0</v>
      </c>
      <c r="C884" s="33" t="s">
        <v>229</v>
      </c>
      <c r="D884" s="34" t="s">
        <v>231</v>
      </c>
      <c r="E884" s="35" t="s">
        <v>232</v>
      </c>
      <c r="F884" s="38" t="s">
        <v>233</v>
      </c>
      <c r="G884" s="39"/>
      <c r="H884" s="38" t="s">
        <v>234</v>
      </c>
      <c r="I884" s="39"/>
      <c r="J884" s="38" t="s">
        <v>235</v>
      </c>
      <c r="K884" s="39"/>
      <c r="L884" s="39"/>
      <c r="M884" s="39"/>
      <c r="N884" s="38" t="s">
        <v>236</v>
      </c>
      <c r="O884" s="39"/>
      <c r="P884" s="39"/>
      <c r="Q884" s="39"/>
      <c r="R884" s="33" t="s">
        <v>1</v>
      </c>
      <c r="S884" s="15" t="s">
        <v>228</v>
      </c>
      <c r="T884" s="15" t="s">
        <v>2</v>
      </c>
      <c r="U884" s="15" t="s">
        <v>3</v>
      </c>
    </row>
    <row r="885" spans="1:21" x14ac:dyDescent="0.3">
      <c r="B885" s="23" cm="1">
        <f t="array" ref="B885:U887">'2. Master Tire Specs  '!C1056:V1058</f>
        <v>0</v>
      </c>
      <c r="C885" s="23">
        <v>0</v>
      </c>
      <c r="D885" s="24">
        <v>0</v>
      </c>
      <c r="E885" s="25">
        <v>0</v>
      </c>
      <c r="F885" s="25">
        <v>0</v>
      </c>
      <c r="G885" s="26">
        <v>0</v>
      </c>
      <c r="H885" s="26">
        <v>0</v>
      </c>
      <c r="I885" s="25">
        <v>0</v>
      </c>
      <c r="J885" s="26">
        <v>0</v>
      </c>
      <c r="K885" s="26">
        <v>0</v>
      </c>
      <c r="L885" s="26">
        <v>0</v>
      </c>
      <c r="M885" s="23">
        <v>0</v>
      </c>
      <c r="N885" s="26">
        <v>0</v>
      </c>
      <c r="O885" s="26">
        <v>0</v>
      </c>
      <c r="P885" s="23">
        <v>0</v>
      </c>
      <c r="Q885" s="23">
        <v>0</v>
      </c>
      <c r="R885" s="23">
        <v>0</v>
      </c>
      <c r="S885" s="2">
        <v>0</v>
      </c>
      <c r="T885" s="2">
        <v>0</v>
      </c>
      <c r="U885" s="2">
        <v>0</v>
      </c>
    </row>
    <row r="886" spans="1:21" x14ac:dyDescent="0.3">
      <c r="B886" s="23">
        <v>0</v>
      </c>
      <c r="C886" s="23">
        <v>0</v>
      </c>
      <c r="D886" s="24">
        <v>0</v>
      </c>
      <c r="E886" s="25">
        <v>0</v>
      </c>
      <c r="F886" s="25">
        <v>0</v>
      </c>
      <c r="G886" s="26">
        <v>0</v>
      </c>
      <c r="H886" s="26">
        <v>0</v>
      </c>
      <c r="I886" s="25">
        <v>0</v>
      </c>
      <c r="J886" s="26">
        <v>0</v>
      </c>
      <c r="K886" s="26">
        <v>0</v>
      </c>
      <c r="L886" s="26">
        <v>0</v>
      </c>
      <c r="M886" s="26">
        <v>0</v>
      </c>
      <c r="N886" s="26">
        <v>0</v>
      </c>
      <c r="O886" s="26">
        <v>0</v>
      </c>
      <c r="P886" s="23">
        <v>0</v>
      </c>
      <c r="Q886" s="23">
        <v>0</v>
      </c>
      <c r="R886" s="23">
        <v>0</v>
      </c>
      <c r="S886" s="2">
        <v>0</v>
      </c>
      <c r="T886" s="2">
        <v>0</v>
      </c>
      <c r="U886" s="2">
        <v>0</v>
      </c>
    </row>
    <row r="887" spans="1:21" x14ac:dyDescent="0.3">
      <c r="B887" s="23">
        <v>0</v>
      </c>
      <c r="C887" s="23">
        <v>0</v>
      </c>
      <c r="D887" s="24">
        <v>0</v>
      </c>
      <c r="E887" s="25">
        <v>0</v>
      </c>
      <c r="F887" s="25">
        <v>0</v>
      </c>
      <c r="G887" s="26">
        <v>0</v>
      </c>
      <c r="H887" s="26">
        <v>0</v>
      </c>
      <c r="I887" s="25">
        <v>0</v>
      </c>
      <c r="J887" s="26">
        <v>0</v>
      </c>
      <c r="K887" s="26">
        <v>0</v>
      </c>
      <c r="L887" s="26">
        <v>0</v>
      </c>
      <c r="M887" s="26">
        <v>0</v>
      </c>
      <c r="N887" s="26">
        <v>0</v>
      </c>
      <c r="O887" s="26">
        <v>0</v>
      </c>
      <c r="P887" s="23">
        <v>0</v>
      </c>
      <c r="Q887" s="23">
        <v>0</v>
      </c>
      <c r="R887" s="23">
        <v>0</v>
      </c>
      <c r="S887" s="2">
        <v>0</v>
      </c>
      <c r="T887" s="2">
        <v>0</v>
      </c>
      <c r="U887" s="2">
        <v>0</v>
      </c>
    </row>
    <row r="888" spans="1:21" x14ac:dyDescent="0.3">
      <c r="B888" s="23"/>
      <c r="C888" s="23"/>
      <c r="D888" s="24"/>
      <c r="E888" s="25"/>
      <c r="F888" s="25"/>
      <c r="G888" s="26"/>
      <c r="H888" s="26"/>
      <c r="I888" s="25"/>
      <c r="J888" s="26"/>
      <c r="K888" s="26"/>
      <c r="L888" s="26"/>
      <c r="M888" s="26"/>
      <c r="N888" s="26"/>
      <c r="O888" s="26"/>
      <c r="P888" s="23"/>
      <c r="Q888" s="23"/>
      <c r="R888" s="23"/>
      <c r="S888" s="2"/>
      <c r="T888" s="2"/>
      <c r="U888" s="2"/>
    </row>
    <row r="890" spans="1:21" x14ac:dyDescent="0.3">
      <c r="A890" s="42" t="s">
        <v>245</v>
      </c>
    </row>
    <row r="891" spans="1:21" x14ac:dyDescent="0.3">
      <c r="A891" s="42" t="s">
        <v>239</v>
      </c>
    </row>
    <row r="893" spans="1:21" x14ac:dyDescent="0.3">
      <c r="A893" s="42" t="s">
        <v>258</v>
      </c>
      <c r="B893" s="4"/>
    </row>
    <row r="894" spans="1:21" x14ac:dyDescent="0.3">
      <c r="A894" s="42" t="s">
        <v>252</v>
      </c>
      <c r="B894" s="4"/>
    </row>
    <row r="895" spans="1:21" x14ac:dyDescent="0.3">
      <c r="A895" s="42" t="s">
        <v>269</v>
      </c>
      <c r="B895" s="4"/>
    </row>
    <row r="897" spans="1:2" x14ac:dyDescent="0.3">
      <c r="A897" s="42" t="s">
        <v>268</v>
      </c>
    </row>
    <row r="902" spans="1:2" x14ac:dyDescent="0.3">
      <c r="A902" s="42" t="s">
        <v>260</v>
      </c>
    </row>
    <row r="903" spans="1:2" x14ac:dyDescent="0.3">
      <c r="A903" s="42" t="s">
        <v>261</v>
      </c>
    </row>
    <row r="904" spans="1:2" x14ac:dyDescent="0.3">
      <c r="A904" s="42" t="s">
        <v>259</v>
      </c>
      <c r="B904" s="4"/>
    </row>
    <row r="906" spans="1:2" x14ac:dyDescent="0.3">
      <c r="A906" s="42" t="s">
        <v>262</v>
      </c>
    </row>
    <row r="907" spans="1:2" x14ac:dyDescent="0.3">
      <c r="A907" s="42" t="s">
        <v>263</v>
      </c>
    </row>
    <row r="908" spans="1:2" x14ac:dyDescent="0.3">
      <c r="A908" s="42" t="s">
        <v>264</v>
      </c>
      <c r="B908" s="4"/>
    </row>
    <row r="910" spans="1:2" x14ac:dyDescent="0.3">
      <c r="A910" s="42" t="s">
        <v>265</v>
      </c>
    </row>
    <row r="911" spans="1:2" x14ac:dyDescent="0.3">
      <c r="A911" s="42" t="s">
        <v>266</v>
      </c>
    </row>
    <row r="912" spans="1:2" x14ac:dyDescent="0.3">
      <c r="A912" s="42" t="s">
        <v>267</v>
      </c>
      <c r="B912" s="4"/>
    </row>
    <row r="914" spans="1:21" x14ac:dyDescent="0.3">
      <c r="A914" s="44" t="s">
        <v>230</v>
      </c>
      <c r="B914" s="40" t="s">
        <v>272</v>
      </c>
      <c r="C914" s="41"/>
      <c r="D914" s="41"/>
      <c r="E914" s="41"/>
      <c r="F914" s="41"/>
      <c r="G914" s="41"/>
      <c r="H914" s="41"/>
      <c r="I914" s="41"/>
      <c r="J914" s="41"/>
      <c r="K914" s="41"/>
      <c r="L914" s="41"/>
      <c r="M914" s="41"/>
      <c r="N914" s="41"/>
      <c r="O914" s="41"/>
      <c r="P914" s="41"/>
      <c r="Q914" s="41"/>
      <c r="R914" s="41"/>
      <c r="S914" s="41"/>
      <c r="T914" s="41"/>
      <c r="U914" s="41"/>
    </row>
    <row r="916" spans="1:21" ht="28.8" x14ac:dyDescent="0.3">
      <c r="B916" s="19" t="s">
        <v>0</v>
      </c>
      <c r="C916" s="33" t="s">
        <v>229</v>
      </c>
      <c r="D916" s="34" t="s">
        <v>231</v>
      </c>
      <c r="E916" s="35" t="s">
        <v>232</v>
      </c>
      <c r="F916" s="38" t="s">
        <v>233</v>
      </c>
      <c r="G916" s="39"/>
      <c r="H916" s="38" t="s">
        <v>234</v>
      </c>
      <c r="I916" s="39"/>
      <c r="J916" s="38" t="s">
        <v>235</v>
      </c>
      <c r="K916" s="39"/>
      <c r="L916" s="39"/>
      <c r="M916" s="39"/>
      <c r="N916" s="38" t="s">
        <v>236</v>
      </c>
      <c r="O916" s="39"/>
      <c r="P916" s="39"/>
      <c r="Q916" s="39"/>
      <c r="R916" s="33" t="s">
        <v>1</v>
      </c>
      <c r="S916" s="15" t="s">
        <v>228</v>
      </c>
      <c r="T916" s="15" t="s">
        <v>2</v>
      </c>
      <c r="U916" s="15" t="s">
        <v>3</v>
      </c>
    </row>
    <row r="917" spans="1:21" x14ac:dyDescent="0.3">
      <c r="B917" s="23" cm="1">
        <f t="array" ref="B917:U919">'2. Master Tire Specs  '!C1088:V1090</f>
        <v>0</v>
      </c>
      <c r="C917" s="23">
        <v>0</v>
      </c>
      <c r="D917" s="24">
        <v>0</v>
      </c>
      <c r="E917" s="25">
        <v>0</v>
      </c>
      <c r="F917" s="25">
        <v>0</v>
      </c>
      <c r="G917" s="26">
        <v>0</v>
      </c>
      <c r="H917" s="26">
        <v>0</v>
      </c>
      <c r="I917" s="25">
        <v>0</v>
      </c>
      <c r="J917" s="26">
        <v>0</v>
      </c>
      <c r="K917" s="26">
        <v>0</v>
      </c>
      <c r="L917" s="26">
        <v>0</v>
      </c>
      <c r="M917" s="23">
        <v>0</v>
      </c>
      <c r="N917" s="26">
        <v>0</v>
      </c>
      <c r="O917" s="26">
        <v>0</v>
      </c>
      <c r="P917" s="23">
        <v>0</v>
      </c>
      <c r="Q917" s="23">
        <v>0</v>
      </c>
      <c r="R917" s="23">
        <v>0</v>
      </c>
      <c r="S917" s="2">
        <v>0</v>
      </c>
      <c r="T917" s="2">
        <v>0</v>
      </c>
      <c r="U917" s="2">
        <v>0</v>
      </c>
    </row>
    <row r="918" spans="1:21" x14ac:dyDescent="0.3">
      <c r="B918" s="23">
        <v>0</v>
      </c>
      <c r="C918" s="23">
        <v>0</v>
      </c>
      <c r="D918" s="24">
        <v>0</v>
      </c>
      <c r="E918" s="25">
        <v>0</v>
      </c>
      <c r="F918" s="25">
        <v>0</v>
      </c>
      <c r="G918" s="26">
        <v>0</v>
      </c>
      <c r="H918" s="26">
        <v>0</v>
      </c>
      <c r="I918" s="25">
        <v>0</v>
      </c>
      <c r="J918" s="26">
        <v>0</v>
      </c>
      <c r="K918" s="26">
        <v>0</v>
      </c>
      <c r="L918" s="26">
        <v>0</v>
      </c>
      <c r="M918" s="26">
        <v>0</v>
      </c>
      <c r="N918" s="26">
        <v>0</v>
      </c>
      <c r="O918" s="26">
        <v>0</v>
      </c>
      <c r="P918" s="23">
        <v>0</v>
      </c>
      <c r="Q918" s="23">
        <v>0</v>
      </c>
      <c r="R918" s="23">
        <v>0</v>
      </c>
      <c r="S918" s="2">
        <v>0</v>
      </c>
      <c r="T918" s="2">
        <v>0</v>
      </c>
      <c r="U918" s="2">
        <v>0</v>
      </c>
    </row>
    <row r="919" spans="1:21" x14ac:dyDescent="0.3">
      <c r="B919" s="23">
        <v>0</v>
      </c>
      <c r="C919" s="23">
        <v>0</v>
      </c>
      <c r="D919" s="24">
        <v>0</v>
      </c>
      <c r="E919" s="25">
        <v>0</v>
      </c>
      <c r="F919" s="25">
        <v>0</v>
      </c>
      <c r="G919" s="26">
        <v>0</v>
      </c>
      <c r="H919" s="26">
        <v>0</v>
      </c>
      <c r="I919" s="25">
        <v>0</v>
      </c>
      <c r="J919" s="26">
        <v>0</v>
      </c>
      <c r="K919" s="26">
        <v>0</v>
      </c>
      <c r="L919" s="26">
        <v>0</v>
      </c>
      <c r="M919" s="26">
        <v>0</v>
      </c>
      <c r="N919" s="26">
        <v>0</v>
      </c>
      <c r="O919" s="26">
        <v>0</v>
      </c>
      <c r="P919" s="23">
        <v>0</v>
      </c>
      <c r="Q919" s="23">
        <v>0</v>
      </c>
      <c r="R919" s="23">
        <v>0</v>
      </c>
      <c r="S919" s="2">
        <v>0</v>
      </c>
      <c r="T919" s="2">
        <v>0</v>
      </c>
      <c r="U919" s="2">
        <v>0</v>
      </c>
    </row>
    <row r="920" spans="1:21" x14ac:dyDescent="0.3">
      <c r="B920" s="23"/>
      <c r="C920" s="23"/>
      <c r="D920" s="24"/>
      <c r="E920" s="25"/>
      <c r="F920" s="25"/>
      <c r="G920" s="26"/>
      <c r="H920" s="26"/>
      <c r="I920" s="25"/>
      <c r="J920" s="26"/>
      <c r="K920" s="26"/>
      <c r="L920" s="26"/>
      <c r="M920" s="26"/>
      <c r="N920" s="26"/>
      <c r="O920" s="26"/>
      <c r="P920" s="23"/>
      <c r="Q920" s="23"/>
      <c r="R920" s="23"/>
      <c r="S920" s="2"/>
      <c r="T920" s="2"/>
      <c r="U920" s="2"/>
    </row>
    <row r="922" spans="1:21" x14ac:dyDescent="0.3">
      <c r="A922" s="42" t="s">
        <v>245</v>
      </c>
    </row>
    <row r="923" spans="1:21" x14ac:dyDescent="0.3">
      <c r="A923" s="42" t="s">
        <v>239</v>
      </c>
    </row>
    <row r="925" spans="1:21" x14ac:dyDescent="0.3">
      <c r="A925" s="42" t="s">
        <v>258</v>
      </c>
      <c r="B925" s="4"/>
    </row>
    <row r="926" spans="1:21" x14ac:dyDescent="0.3">
      <c r="A926" s="42" t="s">
        <v>252</v>
      </c>
      <c r="B926" s="4"/>
    </row>
    <row r="927" spans="1:21" x14ac:dyDescent="0.3">
      <c r="A927" s="42" t="s">
        <v>269</v>
      </c>
      <c r="B927" s="4"/>
    </row>
    <row r="929" spans="1:2" x14ac:dyDescent="0.3">
      <c r="A929" s="42" t="s">
        <v>268</v>
      </c>
    </row>
    <row r="934" spans="1:2" x14ac:dyDescent="0.3">
      <c r="A934" s="42" t="s">
        <v>260</v>
      </c>
    </row>
    <row r="935" spans="1:2" x14ac:dyDescent="0.3">
      <c r="A935" s="42" t="s">
        <v>261</v>
      </c>
    </row>
    <row r="936" spans="1:2" x14ac:dyDescent="0.3">
      <c r="A936" s="42" t="s">
        <v>259</v>
      </c>
      <c r="B936" s="4"/>
    </row>
    <row r="938" spans="1:2" x14ac:dyDescent="0.3">
      <c r="A938" s="42" t="s">
        <v>262</v>
      </c>
    </row>
    <row r="939" spans="1:2" x14ac:dyDescent="0.3">
      <c r="A939" s="42" t="s">
        <v>263</v>
      </c>
    </row>
    <row r="940" spans="1:2" x14ac:dyDescent="0.3">
      <c r="A940" s="42" t="s">
        <v>264</v>
      </c>
      <c r="B940" s="4"/>
    </row>
    <row r="942" spans="1:2" x14ac:dyDescent="0.3">
      <c r="A942" s="42" t="s">
        <v>265</v>
      </c>
    </row>
    <row r="943" spans="1:2" x14ac:dyDescent="0.3">
      <c r="A943" s="42" t="s">
        <v>266</v>
      </c>
    </row>
    <row r="944" spans="1:2" x14ac:dyDescent="0.3">
      <c r="A944" s="42" t="s">
        <v>267</v>
      </c>
      <c r="B944" s="4"/>
    </row>
    <row r="947" spans="1:21" x14ac:dyDescent="0.3">
      <c r="A947" s="44" t="s">
        <v>230</v>
      </c>
      <c r="B947" s="40" t="s">
        <v>272</v>
      </c>
      <c r="C947" s="41"/>
      <c r="D947" s="41"/>
      <c r="E947" s="41"/>
      <c r="F947" s="41"/>
      <c r="G947" s="41"/>
      <c r="H947" s="41"/>
      <c r="I947" s="41"/>
      <c r="J947" s="41"/>
      <c r="K947" s="41"/>
      <c r="L947" s="41"/>
      <c r="M947" s="41"/>
      <c r="N947" s="41"/>
      <c r="O947" s="41"/>
      <c r="P947" s="41"/>
      <c r="Q947" s="41"/>
      <c r="R947" s="41"/>
      <c r="S947" s="41"/>
      <c r="T947" s="41"/>
      <c r="U947" s="41"/>
    </row>
    <row r="949" spans="1:21" ht="28.8" x14ac:dyDescent="0.3">
      <c r="B949" s="19" t="s">
        <v>0</v>
      </c>
      <c r="C949" s="33" t="s">
        <v>229</v>
      </c>
      <c r="D949" s="34" t="s">
        <v>231</v>
      </c>
      <c r="E949" s="35" t="s">
        <v>232</v>
      </c>
      <c r="F949" s="38" t="s">
        <v>233</v>
      </c>
      <c r="G949" s="39"/>
      <c r="H949" s="38" t="s">
        <v>234</v>
      </c>
      <c r="I949" s="39"/>
      <c r="J949" s="38" t="s">
        <v>235</v>
      </c>
      <c r="K949" s="39"/>
      <c r="L949" s="39"/>
      <c r="M949" s="39"/>
      <c r="N949" s="38" t="s">
        <v>236</v>
      </c>
      <c r="O949" s="39"/>
      <c r="P949" s="39"/>
      <c r="Q949" s="39"/>
      <c r="R949" s="33" t="s">
        <v>1</v>
      </c>
      <c r="S949" s="15" t="s">
        <v>228</v>
      </c>
      <c r="T949" s="15" t="s">
        <v>2</v>
      </c>
      <c r="U949" s="15" t="s">
        <v>3</v>
      </c>
    </row>
    <row r="950" spans="1:21" x14ac:dyDescent="0.3">
      <c r="B950" s="23" cm="1">
        <f t="array" ref="B950:U952">'2. Master Tire Specs  '!C1121:V1123</f>
        <v>0</v>
      </c>
      <c r="C950" s="23">
        <v>0</v>
      </c>
      <c r="D950" s="24">
        <v>0</v>
      </c>
      <c r="E950" s="25">
        <v>0</v>
      </c>
      <c r="F950" s="25">
        <v>0</v>
      </c>
      <c r="G950" s="26">
        <v>0</v>
      </c>
      <c r="H950" s="26">
        <v>0</v>
      </c>
      <c r="I950" s="25">
        <v>0</v>
      </c>
      <c r="J950" s="26">
        <v>0</v>
      </c>
      <c r="K950" s="26">
        <v>0</v>
      </c>
      <c r="L950" s="26">
        <v>0</v>
      </c>
      <c r="M950" s="23">
        <v>0</v>
      </c>
      <c r="N950" s="26">
        <v>0</v>
      </c>
      <c r="O950" s="26">
        <v>0</v>
      </c>
      <c r="P950" s="23">
        <v>0</v>
      </c>
      <c r="Q950" s="23">
        <v>0</v>
      </c>
      <c r="R950" s="23">
        <v>0</v>
      </c>
      <c r="S950" s="2">
        <v>0</v>
      </c>
      <c r="T950" s="2">
        <v>0</v>
      </c>
      <c r="U950" s="2">
        <v>0</v>
      </c>
    </row>
    <row r="951" spans="1:21" x14ac:dyDescent="0.3">
      <c r="B951" s="23">
        <v>0</v>
      </c>
      <c r="C951" s="23">
        <v>0</v>
      </c>
      <c r="D951" s="24">
        <v>0</v>
      </c>
      <c r="E951" s="25">
        <v>0</v>
      </c>
      <c r="F951" s="25">
        <v>0</v>
      </c>
      <c r="G951" s="26">
        <v>0</v>
      </c>
      <c r="H951" s="26">
        <v>0</v>
      </c>
      <c r="I951" s="25">
        <v>0</v>
      </c>
      <c r="J951" s="26">
        <v>0</v>
      </c>
      <c r="K951" s="26">
        <v>0</v>
      </c>
      <c r="L951" s="26">
        <v>0</v>
      </c>
      <c r="M951" s="26">
        <v>0</v>
      </c>
      <c r="N951" s="26">
        <v>0</v>
      </c>
      <c r="O951" s="26">
        <v>0</v>
      </c>
      <c r="P951" s="23">
        <v>0</v>
      </c>
      <c r="Q951" s="23">
        <v>0</v>
      </c>
      <c r="R951" s="23">
        <v>0</v>
      </c>
      <c r="S951" s="2">
        <v>0</v>
      </c>
      <c r="T951" s="2">
        <v>0</v>
      </c>
      <c r="U951" s="2">
        <v>0</v>
      </c>
    </row>
    <row r="952" spans="1:21" x14ac:dyDescent="0.3">
      <c r="B952" s="23">
        <v>0</v>
      </c>
      <c r="C952" s="23">
        <v>0</v>
      </c>
      <c r="D952" s="24">
        <v>0</v>
      </c>
      <c r="E952" s="25">
        <v>0</v>
      </c>
      <c r="F952" s="25">
        <v>0</v>
      </c>
      <c r="G952" s="26">
        <v>0</v>
      </c>
      <c r="H952" s="26">
        <v>0</v>
      </c>
      <c r="I952" s="25">
        <v>0</v>
      </c>
      <c r="J952" s="26">
        <v>0</v>
      </c>
      <c r="K952" s="26">
        <v>0</v>
      </c>
      <c r="L952" s="26">
        <v>0</v>
      </c>
      <c r="M952" s="26">
        <v>0</v>
      </c>
      <c r="N952" s="26">
        <v>0</v>
      </c>
      <c r="O952" s="26">
        <v>0</v>
      </c>
      <c r="P952" s="23">
        <v>0</v>
      </c>
      <c r="Q952" s="23">
        <v>0</v>
      </c>
      <c r="R952" s="23">
        <v>0</v>
      </c>
      <c r="S952" s="2">
        <v>0</v>
      </c>
      <c r="T952" s="2">
        <v>0</v>
      </c>
      <c r="U952" s="2">
        <v>0</v>
      </c>
    </row>
    <row r="953" spans="1:21" x14ac:dyDescent="0.3">
      <c r="B953" s="23"/>
      <c r="C953" s="23"/>
      <c r="D953" s="24"/>
      <c r="E953" s="25"/>
      <c r="F953" s="25"/>
      <c r="G953" s="26"/>
      <c r="H953" s="26"/>
      <c r="I953" s="25"/>
      <c r="J953" s="26"/>
      <c r="K953" s="26"/>
      <c r="L953" s="26"/>
      <c r="M953" s="26"/>
      <c r="N953" s="26"/>
      <c r="O953" s="26"/>
      <c r="P953" s="23"/>
      <c r="Q953" s="23"/>
      <c r="R953" s="23"/>
      <c r="S953" s="2"/>
      <c r="T953" s="2"/>
      <c r="U953" s="2"/>
    </row>
    <row r="955" spans="1:21" x14ac:dyDescent="0.3">
      <c r="A955" s="42" t="s">
        <v>245</v>
      </c>
    </row>
    <row r="956" spans="1:21" x14ac:dyDescent="0.3">
      <c r="A956" s="42" t="s">
        <v>239</v>
      </c>
    </row>
    <row r="958" spans="1:21" x14ac:dyDescent="0.3">
      <c r="A958" s="42" t="s">
        <v>258</v>
      </c>
      <c r="B958" s="4"/>
    </row>
    <row r="959" spans="1:21" x14ac:dyDescent="0.3">
      <c r="A959" s="42" t="s">
        <v>252</v>
      </c>
      <c r="B959" s="4"/>
    </row>
    <row r="960" spans="1:21" x14ac:dyDescent="0.3">
      <c r="A960" s="42" t="s">
        <v>269</v>
      </c>
      <c r="B960" s="4"/>
    </row>
    <row r="962" spans="1:2" x14ac:dyDescent="0.3">
      <c r="A962" s="42" t="s">
        <v>268</v>
      </c>
    </row>
    <row r="967" spans="1:2" x14ac:dyDescent="0.3">
      <c r="A967" s="42" t="s">
        <v>260</v>
      </c>
    </row>
    <row r="968" spans="1:2" x14ac:dyDescent="0.3">
      <c r="A968" s="42" t="s">
        <v>261</v>
      </c>
    </row>
    <row r="969" spans="1:2" x14ac:dyDescent="0.3">
      <c r="A969" s="42" t="s">
        <v>259</v>
      </c>
      <c r="B969" s="4"/>
    </row>
    <row r="971" spans="1:2" x14ac:dyDescent="0.3">
      <c r="A971" s="42" t="s">
        <v>262</v>
      </c>
    </row>
    <row r="972" spans="1:2" x14ac:dyDescent="0.3">
      <c r="A972" s="42" t="s">
        <v>263</v>
      </c>
    </row>
    <row r="973" spans="1:2" x14ac:dyDescent="0.3">
      <c r="A973" s="42" t="s">
        <v>264</v>
      </c>
      <c r="B973" s="4"/>
    </row>
    <row r="975" spans="1:2" x14ac:dyDescent="0.3">
      <c r="A975" s="42" t="s">
        <v>265</v>
      </c>
    </row>
    <row r="976" spans="1:2" x14ac:dyDescent="0.3">
      <c r="A976" s="42" t="s">
        <v>266</v>
      </c>
    </row>
    <row r="977" spans="1:21" x14ac:dyDescent="0.3">
      <c r="A977" s="42" t="s">
        <v>267</v>
      </c>
      <c r="B977" s="4"/>
    </row>
    <row r="979" spans="1:21" x14ac:dyDescent="0.3">
      <c r="A979" s="44" t="s">
        <v>230</v>
      </c>
      <c r="B979" s="40" t="s">
        <v>272</v>
      </c>
      <c r="C979" s="41"/>
      <c r="D979" s="41"/>
      <c r="E979" s="41"/>
      <c r="F979" s="41"/>
      <c r="G979" s="41"/>
      <c r="H979" s="41"/>
      <c r="I979" s="41"/>
      <c r="J979" s="41"/>
      <c r="K979" s="41"/>
      <c r="L979" s="41"/>
      <c r="M979" s="41"/>
      <c r="N979" s="41"/>
      <c r="O979" s="41"/>
      <c r="P979" s="41"/>
      <c r="Q979" s="41"/>
      <c r="R979" s="41"/>
      <c r="S979" s="41"/>
      <c r="T979" s="41"/>
      <c r="U979" s="41"/>
    </row>
    <row r="981" spans="1:21" ht="28.8" x14ac:dyDescent="0.3">
      <c r="B981" s="19" t="s">
        <v>0</v>
      </c>
      <c r="C981" s="33" t="s">
        <v>229</v>
      </c>
      <c r="D981" s="34" t="s">
        <v>231</v>
      </c>
      <c r="E981" s="35" t="s">
        <v>232</v>
      </c>
      <c r="F981" s="38" t="s">
        <v>233</v>
      </c>
      <c r="G981" s="39"/>
      <c r="H981" s="38" t="s">
        <v>234</v>
      </c>
      <c r="I981" s="39"/>
      <c r="J981" s="38" t="s">
        <v>235</v>
      </c>
      <c r="K981" s="39"/>
      <c r="L981" s="39"/>
      <c r="M981" s="39"/>
      <c r="N981" s="38" t="s">
        <v>236</v>
      </c>
      <c r="O981" s="39"/>
      <c r="P981" s="39"/>
      <c r="Q981" s="39"/>
      <c r="R981" s="33" t="s">
        <v>1</v>
      </c>
      <c r="S981" s="15" t="s">
        <v>228</v>
      </c>
      <c r="T981" s="15" t="s">
        <v>2</v>
      </c>
      <c r="U981" s="15" t="s">
        <v>3</v>
      </c>
    </row>
    <row r="982" spans="1:21" x14ac:dyDescent="0.3">
      <c r="B982" s="23" cm="1">
        <f t="array" ref="B982:U984">'2. Master Tire Specs  '!C1153:V1155</f>
        <v>0</v>
      </c>
      <c r="C982" s="23">
        <v>0</v>
      </c>
      <c r="D982" s="24">
        <v>0</v>
      </c>
      <c r="E982" s="25">
        <v>0</v>
      </c>
      <c r="F982" s="25">
        <v>0</v>
      </c>
      <c r="G982" s="26">
        <v>0</v>
      </c>
      <c r="H982" s="26">
        <v>0</v>
      </c>
      <c r="I982" s="25">
        <v>0</v>
      </c>
      <c r="J982" s="26">
        <v>0</v>
      </c>
      <c r="K982" s="26">
        <v>0</v>
      </c>
      <c r="L982" s="26">
        <v>0</v>
      </c>
      <c r="M982" s="23">
        <v>0</v>
      </c>
      <c r="N982" s="26">
        <v>0</v>
      </c>
      <c r="O982" s="26">
        <v>0</v>
      </c>
      <c r="P982" s="23">
        <v>0</v>
      </c>
      <c r="Q982" s="23">
        <v>0</v>
      </c>
      <c r="R982" s="23">
        <v>0</v>
      </c>
      <c r="S982" s="2">
        <v>0</v>
      </c>
      <c r="T982" s="2">
        <v>0</v>
      </c>
      <c r="U982" s="2">
        <v>0</v>
      </c>
    </row>
    <row r="983" spans="1:21" x14ac:dyDescent="0.3">
      <c r="B983" s="23">
        <v>0</v>
      </c>
      <c r="C983" s="23">
        <v>0</v>
      </c>
      <c r="D983" s="24">
        <v>0</v>
      </c>
      <c r="E983" s="25">
        <v>0</v>
      </c>
      <c r="F983" s="25">
        <v>0</v>
      </c>
      <c r="G983" s="26">
        <v>0</v>
      </c>
      <c r="H983" s="26">
        <v>0</v>
      </c>
      <c r="I983" s="25">
        <v>0</v>
      </c>
      <c r="J983" s="26">
        <v>0</v>
      </c>
      <c r="K983" s="26">
        <v>0</v>
      </c>
      <c r="L983" s="26">
        <v>0</v>
      </c>
      <c r="M983" s="26">
        <v>0</v>
      </c>
      <c r="N983" s="26">
        <v>0</v>
      </c>
      <c r="O983" s="26">
        <v>0</v>
      </c>
      <c r="P983" s="23">
        <v>0</v>
      </c>
      <c r="Q983" s="23">
        <v>0</v>
      </c>
      <c r="R983" s="23">
        <v>0</v>
      </c>
      <c r="S983" s="2">
        <v>0</v>
      </c>
      <c r="T983" s="2">
        <v>0</v>
      </c>
      <c r="U983" s="2">
        <v>0</v>
      </c>
    </row>
    <row r="984" spans="1:21" x14ac:dyDescent="0.3">
      <c r="B984" s="23">
        <v>0</v>
      </c>
      <c r="C984" s="23">
        <v>0</v>
      </c>
      <c r="D984" s="24">
        <v>0</v>
      </c>
      <c r="E984" s="25">
        <v>0</v>
      </c>
      <c r="F984" s="25">
        <v>0</v>
      </c>
      <c r="G984" s="26">
        <v>0</v>
      </c>
      <c r="H984" s="26">
        <v>0</v>
      </c>
      <c r="I984" s="25">
        <v>0</v>
      </c>
      <c r="J984" s="26">
        <v>0</v>
      </c>
      <c r="K984" s="26">
        <v>0</v>
      </c>
      <c r="L984" s="26">
        <v>0</v>
      </c>
      <c r="M984" s="26">
        <v>0</v>
      </c>
      <c r="N984" s="26">
        <v>0</v>
      </c>
      <c r="O984" s="26">
        <v>0</v>
      </c>
      <c r="P984" s="23">
        <v>0</v>
      </c>
      <c r="Q984" s="23">
        <v>0</v>
      </c>
      <c r="R984" s="23">
        <v>0</v>
      </c>
      <c r="S984" s="2">
        <v>0</v>
      </c>
      <c r="T984" s="2">
        <v>0</v>
      </c>
      <c r="U984" s="2">
        <v>0</v>
      </c>
    </row>
    <row r="985" spans="1:21" x14ac:dyDescent="0.3">
      <c r="B985" s="23"/>
      <c r="C985" s="23"/>
      <c r="D985" s="24"/>
      <c r="E985" s="25"/>
      <c r="F985" s="25"/>
      <c r="G985" s="26"/>
      <c r="H985" s="26"/>
      <c r="I985" s="25"/>
      <c r="J985" s="26"/>
      <c r="K985" s="26"/>
      <c r="L985" s="26"/>
      <c r="M985" s="26"/>
      <c r="N985" s="26"/>
      <c r="O985" s="26"/>
      <c r="P985" s="23"/>
      <c r="Q985" s="23"/>
      <c r="R985" s="23"/>
      <c r="S985" s="2"/>
      <c r="T985" s="2"/>
      <c r="U985" s="2"/>
    </row>
    <row r="987" spans="1:21" x14ac:dyDescent="0.3">
      <c r="A987" s="42" t="s">
        <v>245</v>
      </c>
    </row>
    <row r="988" spans="1:21" x14ac:dyDescent="0.3">
      <c r="A988" s="42" t="s">
        <v>239</v>
      </c>
    </row>
    <row r="990" spans="1:21" x14ac:dyDescent="0.3">
      <c r="A990" s="42" t="s">
        <v>258</v>
      </c>
      <c r="B990" s="4"/>
    </row>
    <row r="991" spans="1:21" x14ac:dyDescent="0.3">
      <c r="A991" s="42" t="s">
        <v>252</v>
      </c>
      <c r="B991" s="4"/>
    </row>
    <row r="992" spans="1:21" x14ac:dyDescent="0.3">
      <c r="A992" s="42" t="s">
        <v>269</v>
      </c>
      <c r="B992" s="4"/>
    </row>
    <row r="994" spans="1:2" x14ac:dyDescent="0.3">
      <c r="A994" s="42" t="s">
        <v>268</v>
      </c>
    </row>
    <row r="999" spans="1:2" x14ac:dyDescent="0.3">
      <c r="A999" s="42" t="s">
        <v>260</v>
      </c>
    </row>
    <row r="1000" spans="1:2" x14ac:dyDescent="0.3">
      <c r="A1000" s="42" t="s">
        <v>261</v>
      </c>
    </row>
    <row r="1001" spans="1:2" x14ac:dyDescent="0.3">
      <c r="A1001" s="42" t="s">
        <v>259</v>
      </c>
      <c r="B1001" s="4"/>
    </row>
    <row r="1003" spans="1:2" x14ac:dyDescent="0.3">
      <c r="A1003" s="42" t="s">
        <v>262</v>
      </c>
    </row>
    <row r="1004" spans="1:2" x14ac:dyDescent="0.3">
      <c r="A1004" s="42" t="s">
        <v>263</v>
      </c>
    </row>
    <row r="1005" spans="1:2" x14ac:dyDescent="0.3">
      <c r="A1005" s="42" t="s">
        <v>264</v>
      </c>
      <c r="B1005" s="4"/>
    </row>
    <row r="1007" spans="1:2" x14ac:dyDescent="0.3">
      <c r="A1007" s="42" t="s">
        <v>265</v>
      </c>
    </row>
    <row r="1008" spans="1:2" x14ac:dyDescent="0.3">
      <c r="A1008" s="42" t="s">
        <v>266</v>
      </c>
    </row>
    <row r="1009" spans="1:21" x14ac:dyDescent="0.3">
      <c r="A1009" s="42" t="s">
        <v>267</v>
      </c>
      <c r="B1009" s="4"/>
    </row>
    <row r="1012" spans="1:21" x14ac:dyDescent="0.3">
      <c r="A1012" s="44" t="s">
        <v>230</v>
      </c>
      <c r="B1012" s="40" t="s">
        <v>272</v>
      </c>
      <c r="C1012" s="41"/>
      <c r="D1012" s="41"/>
      <c r="E1012" s="41"/>
      <c r="F1012" s="41"/>
      <c r="G1012" s="41"/>
      <c r="H1012" s="41"/>
      <c r="I1012" s="41"/>
      <c r="J1012" s="41"/>
      <c r="K1012" s="41"/>
      <c r="L1012" s="41"/>
      <c r="M1012" s="41"/>
      <c r="N1012" s="41"/>
      <c r="O1012" s="41"/>
      <c r="P1012" s="41"/>
      <c r="Q1012" s="41"/>
      <c r="R1012" s="41"/>
      <c r="S1012" s="41"/>
      <c r="T1012" s="41"/>
      <c r="U1012" s="41"/>
    </row>
    <row r="1014" spans="1:21" ht="28.8" x14ac:dyDescent="0.3">
      <c r="B1014" s="19" t="s">
        <v>0</v>
      </c>
      <c r="C1014" s="33" t="s">
        <v>229</v>
      </c>
      <c r="D1014" s="34" t="s">
        <v>231</v>
      </c>
      <c r="E1014" s="35" t="s">
        <v>232</v>
      </c>
      <c r="F1014" s="38" t="s">
        <v>233</v>
      </c>
      <c r="G1014" s="39"/>
      <c r="H1014" s="38" t="s">
        <v>234</v>
      </c>
      <c r="I1014" s="39"/>
      <c r="J1014" s="38" t="s">
        <v>235</v>
      </c>
      <c r="K1014" s="39"/>
      <c r="L1014" s="39"/>
      <c r="M1014" s="39"/>
      <c r="N1014" s="38" t="s">
        <v>236</v>
      </c>
      <c r="O1014" s="39"/>
      <c r="P1014" s="39"/>
      <c r="Q1014" s="39"/>
      <c r="R1014" s="33" t="s">
        <v>1</v>
      </c>
      <c r="S1014" s="15" t="s">
        <v>228</v>
      </c>
      <c r="T1014" s="15" t="s">
        <v>2</v>
      </c>
      <c r="U1014" s="15" t="s">
        <v>3</v>
      </c>
    </row>
    <row r="1015" spans="1:21" x14ac:dyDescent="0.3">
      <c r="B1015" s="23" cm="1">
        <f t="array" ref="B1015:U1017">'2. Master Tire Specs  '!C1186:V1188</f>
        <v>0</v>
      </c>
      <c r="C1015" s="23">
        <v>0</v>
      </c>
      <c r="D1015" s="24">
        <v>0</v>
      </c>
      <c r="E1015" s="25">
        <v>0</v>
      </c>
      <c r="F1015" s="25">
        <v>0</v>
      </c>
      <c r="G1015" s="26">
        <v>0</v>
      </c>
      <c r="H1015" s="26">
        <v>0</v>
      </c>
      <c r="I1015" s="25">
        <v>0</v>
      </c>
      <c r="J1015" s="26">
        <v>0</v>
      </c>
      <c r="K1015" s="26">
        <v>0</v>
      </c>
      <c r="L1015" s="26">
        <v>0</v>
      </c>
      <c r="M1015" s="23">
        <v>0</v>
      </c>
      <c r="N1015" s="26">
        <v>0</v>
      </c>
      <c r="O1015" s="26">
        <v>0</v>
      </c>
      <c r="P1015" s="23">
        <v>0</v>
      </c>
      <c r="Q1015" s="23">
        <v>0</v>
      </c>
      <c r="R1015" s="23">
        <v>0</v>
      </c>
      <c r="S1015" s="2">
        <v>0</v>
      </c>
      <c r="T1015" s="2">
        <v>0</v>
      </c>
      <c r="U1015" s="2">
        <v>0</v>
      </c>
    </row>
    <row r="1016" spans="1:21" x14ac:dyDescent="0.3">
      <c r="B1016" s="23">
        <v>0</v>
      </c>
      <c r="C1016" s="23">
        <v>0</v>
      </c>
      <c r="D1016" s="24">
        <v>0</v>
      </c>
      <c r="E1016" s="25">
        <v>0</v>
      </c>
      <c r="F1016" s="25">
        <v>0</v>
      </c>
      <c r="G1016" s="26">
        <v>0</v>
      </c>
      <c r="H1016" s="26">
        <v>0</v>
      </c>
      <c r="I1016" s="25">
        <v>0</v>
      </c>
      <c r="J1016" s="26">
        <v>0</v>
      </c>
      <c r="K1016" s="26">
        <v>0</v>
      </c>
      <c r="L1016" s="26">
        <v>0</v>
      </c>
      <c r="M1016" s="26">
        <v>0</v>
      </c>
      <c r="N1016" s="26">
        <v>0</v>
      </c>
      <c r="O1016" s="26">
        <v>0</v>
      </c>
      <c r="P1016" s="23">
        <v>0</v>
      </c>
      <c r="Q1016" s="23">
        <v>0</v>
      </c>
      <c r="R1016" s="23">
        <v>0</v>
      </c>
      <c r="S1016" s="2">
        <v>0</v>
      </c>
      <c r="T1016" s="2">
        <v>0</v>
      </c>
      <c r="U1016" s="2">
        <v>0</v>
      </c>
    </row>
    <row r="1017" spans="1:21" x14ac:dyDescent="0.3">
      <c r="B1017" s="23">
        <v>0</v>
      </c>
      <c r="C1017" s="23">
        <v>0</v>
      </c>
      <c r="D1017" s="24">
        <v>0</v>
      </c>
      <c r="E1017" s="25">
        <v>0</v>
      </c>
      <c r="F1017" s="25">
        <v>0</v>
      </c>
      <c r="G1017" s="26">
        <v>0</v>
      </c>
      <c r="H1017" s="26">
        <v>0</v>
      </c>
      <c r="I1017" s="25">
        <v>0</v>
      </c>
      <c r="J1017" s="26">
        <v>0</v>
      </c>
      <c r="K1017" s="26">
        <v>0</v>
      </c>
      <c r="L1017" s="26">
        <v>0</v>
      </c>
      <c r="M1017" s="26">
        <v>0</v>
      </c>
      <c r="N1017" s="26">
        <v>0</v>
      </c>
      <c r="O1017" s="26">
        <v>0</v>
      </c>
      <c r="P1017" s="23">
        <v>0</v>
      </c>
      <c r="Q1017" s="23">
        <v>0</v>
      </c>
      <c r="R1017" s="23">
        <v>0</v>
      </c>
      <c r="S1017" s="2">
        <v>0</v>
      </c>
      <c r="T1017" s="2">
        <v>0</v>
      </c>
      <c r="U1017" s="2">
        <v>0</v>
      </c>
    </row>
    <row r="1018" spans="1:21" x14ac:dyDescent="0.3">
      <c r="B1018" s="23"/>
      <c r="C1018" s="23"/>
      <c r="D1018" s="24"/>
      <c r="E1018" s="25"/>
      <c r="F1018" s="25"/>
      <c r="G1018" s="26"/>
      <c r="H1018" s="26"/>
      <c r="I1018" s="25"/>
      <c r="J1018" s="26"/>
      <c r="K1018" s="26"/>
      <c r="L1018" s="26"/>
      <c r="M1018" s="26"/>
      <c r="N1018" s="26"/>
      <c r="O1018" s="26"/>
      <c r="P1018" s="23"/>
      <c r="Q1018" s="23"/>
      <c r="R1018" s="23"/>
      <c r="S1018" s="2"/>
      <c r="T1018" s="2"/>
      <c r="U1018" s="2"/>
    </row>
    <row r="1020" spans="1:21" x14ac:dyDescent="0.3">
      <c r="A1020" s="42" t="s">
        <v>245</v>
      </c>
    </row>
    <row r="1021" spans="1:21" x14ac:dyDescent="0.3">
      <c r="A1021" s="42" t="s">
        <v>239</v>
      </c>
    </row>
    <row r="1023" spans="1:21" x14ac:dyDescent="0.3">
      <c r="A1023" s="42" t="s">
        <v>258</v>
      </c>
      <c r="B1023" s="4"/>
    </row>
    <row r="1024" spans="1:21" x14ac:dyDescent="0.3">
      <c r="A1024" s="42" t="s">
        <v>252</v>
      </c>
      <c r="B1024" s="4"/>
    </row>
    <row r="1025" spans="1:2" x14ac:dyDescent="0.3">
      <c r="A1025" s="42" t="s">
        <v>269</v>
      </c>
      <c r="B1025" s="4"/>
    </row>
    <row r="1027" spans="1:2" x14ac:dyDescent="0.3">
      <c r="A1027" s="42" t="s">
        <v>268</v>
      </c>
    </row>
    <row r="1032" spans="1:2" x14ac:dyDescent="0.3">
      <c r="A1032" s="42" t="s">
        <v>260</v>
      </c>
    </row>
    <row r="1033" spans="1:2" x14ac:dyDescent="0.3">
      <c r="A1033" s="42" t="s">
        <v>261</v>
      </c>
    </row>
    <row r="1034" spans="1:2" x14ac:dyDescent="0.3">
      <c r="A1034" s="42" t="s">
        <v>259</v>
      </c>
      <c r="B1034" s="4"/>
    </row>
    <row r="1036" spans="1:2" x14ac:dyDescent="0.3">
      <c r="A1036" s="42" t="s">
        <v>262</v>
      </c>
    </row>
    <row r="1037" spans="1:2" x14ac:dyDescent="0.3">
      <c r="A1037" s="42" t="s">
        <v>263</v>
      </c>
    </row>
    <row r="1038" spans="1:2" x14ac:dyDescent="0.3">
      <c r="A1038" s="42" t="s">
        <v>264</v>
      </c>
      <c r="B1038" s="4"/>
    </row>
    <row r="1040" spans="1:2" x14ac:dyDescent="0.3">
      <c r="A1040" s="42" t="s">
        <v>265</v>
      </c>
    </row>
    <row r="1041" spans="1:21" x14ac:dyDescent="0.3">
      <c r="A1041" s="42" t="s">
        <v>266</v>
      </c>
    </row>
    <row r="1042" spans="1:21" x14ac:dyDescent="0.3">
      <c r="A1042" s="42" t="s">
        <v>267</v>
      </c>
      <c r="B1042" s="4"/>
    </row>
    <row r="1045" spans="1:21" x14ac:dyDescent="0.3">
      <c r="A1045" s="44" t="s">
        <v>230</v>
      </c>
      <c r="B1045" s="40" t="s">
        <v>272</v>
      </c>
      <c r="C1045" s="41"/>
      <c r="D1045" s="41"/>
      <c r="E1045" s="41"/>
      <c r="F1045" s="41"/>
      <c r="G1045" s="41"/>
      <c r="H1045" s="41"/>
      <c r="I1045" s="41"/>
      <c r="J1045" s="41"/>
      <c r="K1045" s="41"/>
      <c r="L1045" s="41"/>
      <c r="M1045" s="41"/>
      <c r="N1045" s="41"/>
      <c r="O1045" s="41"/>
      <c r="P1045" s="41"/>
      <c r="Q1045" s="41"/>
      <c r="R1045" s="41"/>
      <c r="S1045" s="41"/>
      <c r="T1045" s="41"/>
      <c r="U1045" s="41"/>
    </row>
    <row r="1047" spans="1:21" ht="28.8" x14ac:dyDescent="0.3">
      <c r="B1047" s="19" t="s">
        <v>0</v>
      </c>
      <c r="C1047" s="33" t="s">
        <v>229</v>
      </c>
      <c r="D1047" s="34" t="s">
        <v>231</v>
      </c>
      <c r="E1047" s="35" t="s">
        <v>232</v>
      </c>
      <c r="F1047" s="38" t="s">
        <v>233</v>
      </c>
      <c r="G1047" s="39"/>
      <c r="H1047" s="38" t="s">
        <v>234</v>
      </c>
      <c r="I1047" s="39"/>
      <c r="J1047" s="38" t="s">
        <v>235</v>
      </c>
      <c r="K1047" s="39"/>
      <c r="L1047" s="39"/>
      <c r="M1047" s="39"/>
      <c r="N1047" s="38" t="s">
        <v>236</v>
      </c>
      <c r="O1047" s="39"/>
      <c r="P1047" s="39"/>
      <c r="Q1047" s="39"/>
      <c r="R1047" s="33" t="s">
        <v>1</v>
      </c>
      <c r="S1047" s="15" t="s">
        <v>228</v>
      </c>
      <c r="T1047" s="15" t="s">
        <v>2</v>
      </c>
      <c r="U1047" s="15" t="s">
        <v>3</v>
      </c>
    </row>
    <row r="1048" spans="1:21" x14ac:dyDescent="0.3">
      <c r="B1048" s="23" cm="1">
        <f t="array" ref="B1048:U1050">'2. Master Tire Specs  '!C1219:V1221</f>
        <v>0</v>
      </c>
      <c r="C1048" s="23">
        <v>0</v>
      </c>
      <c r="D1048" s="24">
        <v>0</v>
      </c>
      <c r="E1048" s="25">
        <v>0</v>
      </c>
      <c r="F1048" s="25">
        <v>0</v>
      </c>
      <c r="G1048" s="26">
        <v>0</v>
      </c>
      <c r="H1048" s="26">
        <v>0</v>
      </c>
      <c r="I1048" s="25">
        <v>0</v>
      </c>
      <c r="J1048" s="26">
        <v>0</v>
      </c>
      <c r="K1048" s="26">
        <v>0</v>
      </c>
      <c r="L1048" s="26">
        <v>0</v>
      </c>
      <c r="M1048" s="23">
        <v>0</v>
      </c>
      <c r="N1048" s="26">
        <v>0</v>
      </c>
      <c r="O1048" s="26">
        <v>0</v>
      </c>
      <c r="P1048" s="23">
        <v>0</v>
      </c>
      <c r="Q1048" s="23">
        <v>0</v>
      </c>
      <c r="R1048" s="23">
        <v>0</v>
      </c>
      <c r="S1048" s="2">
        <v>0</v>
      </c>
      <c r="T1048" s="2">
        <v>0</v>
      </c>
      <c r="U1048" s="2">
        <v>0</v>
      </c>
    </row>
    <row r="1049" spans="1:21" x14ac:dyDescent="0.3">
      <c r="B1049" s="23">
        <v>0</v>
      </c>
      <c r="C1049" s="23">
        <v>0</v>
      </c>
      <c r="D1049" s="24">
        <v>0</v>
      </c>
      <c r="E1049" s="25">
        <v>0</v>
      </c>
      <c r="F1049" s="25">
        <v>0</v>
      </c>
      <c r="G1049" s="26">
        <v>0</v>
      </c>
      <c r="H1049" s="26">
        <v>0</v>
      </c>
      <c r="I1049" s="25">
        <v>0</v>
      </c>
      <c r="J1049" s="26">
        <v>0</v>
      </c>
      <c r="K1049" s="26">
        <v>0</v>
      </c>
      <c r="L1049" s="26">
        <v>0</v>
      </c>
      <c r="M1049" s="26">
        <v>0</v>
      </c>
      <c r="N1049" s="26">
        <v>0</v>
      </c>
      <c r="O1049" s="26">
        <v>0</v>
      </c>
      <c r="P1049" s="23">
        <v>0</v>
      </c>
      <c r="Q1049" s="23">
        <v>0</v>
      </c>
      <c r="R1049" s="23">
        <v>0</v>
      </c>
      <c r="S1049" s="2">
        <v>0</v>
      </c>
      <c r="T1049" s="2">
        <v>0</v>
      </c>
      <c r="U1049" s="2">
        <v>0</v>
      </c>
    </row>
    <row r="1050" spans="1:21" x14ac:dyDescent="0.3">
      <c r="B1050" s="23">
        <v>0</v>
      </c>
      <c r="C1050" s="23">
        <v>0</v>
      </c>
      <c r="D1050" s="24">
        <v>0</v>
      </c>
      <c r="E1050" s="25">
        <v>0</v>
      </c>
      <c r="F1050" s="25">
        <v>0</v>
      </c>
      <c r="G1050" s="26">
        <v>0</v>
      </c>
      <c r="H1050" s="26">
        <v>0</v>
      </c>
      <c r="I1050" s="25">
        <v>0</v>
      </c>
      <c r="J1050" s="26">
        <v>0</v>
      </c>
      <c r="K1050" s="26">
        <v>0</v>
      </c>
      <c r="L1050" s="26">
        <v>0</v>
      </c>
      <c r="M1050" s="26">
        <v>0</v>
      </c>
      <c r="N1050" s="26">
        <v>0</v>
      </c>
      <c r="O1050" s="26">
        <v>0</v>
      </c>
      <c r="P1050" s="23">
        <v>0</v>
      </c>
      <c r="Q1050" s="23">
        <v>0</v>
      </c>
      <c r="R1050" s="23">
        <v>0</v>
      </c>
      <c r="S1050" s="2">
        <v>0</v>
      </c>
      <c r="T1050" s="2">
        <v>0</v>
      </c>
      <c r="U1050" s="2">
        <v>0</v>
      </c>
    </row>
    <row r="1051" spans="1:21" x14ac:dyDescent="0.3">
      <c r="B1051" s="23"/>
      <c r="C1051" s="23"/>
      <c r="D1051" s="24"/>
      <c r="E1051" s="25"/>
      <c r="F1051" s="25"/>
      <c r="G1051" s="26"/>
      <c r="H1051" s="26"/>
      <c r="I1051" s="25"/>
      <c r="J1051" s="26"/>
      <c r="K1051" s="26"/>
      <c r="L1051" s="26"/>
      <c r="M1051" s="26"/>
      <c r="N1051" s="26"/>
      <c r="O1051" s="26"/>
      <c r="P1051" s="23"/>
      <c r="Q1051" s="23"/>
      <c r="R1051" s="23"/>
      <c r="S1051" s="2"/>
      <c r="T1051" s="2"/>
      <c r="U1051" s="2"/>
    </row>
    <row r="1053" spans="1:21" x14ac:dyDescent="0.3">
      <c r="A1053" s="42" t="s">
        <v>245</v>
      </c>
    </row>
    <row r="1054" spans="1:21" x14ac:dyDescent="0.3">
      <c r="A1054" s="42" t="s">
        <v>239</v>
      </c>
    </row>
    <row r="1056" spans="1:21" x14ac:dyDescent="0.3">
      <c r="A1056" s="42" t="s">
        <v>258</v>
      </c>
      <c r="B1056" s="4"/>
    </row>
    <row r="1057" spans="1:2" x14ac:dyDescent="0.3">
      <c r="A1057" s="42" t="s">
        <v>252</v>
      </c>
      <c r="B1057" s="4"/>
    </row>
    <row r="1058" spans="1:2" x14ac:dyDescent="0.3">
      <c r="A1058" s="42" t="s">
        <v>269</v>
      </c>
      <c r="B1058" s="4"/>
    </row>
    <row r="1060" spans="1:2" x14ac:dyDescent="0.3">
      <c r="A1060" s="42" t="s">
        <v>268</v>
      </c>
    </row>
    <row r="1065" spans="1:2" x14ac:dyDescent="0.3">
      <c r="A1065" s="42" t="s">
        <v>260</v>
      </c>
    </row>
    <row r="1066" spans="1:2" x14ac:dyDescent="0.3">
      <c r="A1066" s="42" t="s">
        <v>261</v>
      </c>
    </row>
    <row r="1067" spans="1:2" x14ac:dyDescent="0.3">
      <c r="A1067" s="42" t="s">
        <v>259</v>
      </c>
      <c r="B1067" s="4"/>
    </row>
    <row r="1069" spans="1:2" x14ac:dyDescent="0.3">
      <c r="A1069" s="42" t="s">
        <v>262</v>
      </c>
    </row>
    <row r="1070" spans="1:2" x14ac:dyDescent="0.3">
      <c r="A1070" s="42" t="s">
        <v>263</v>
      </c>
    </row>
    <row r="1071" spans="1:2" x14ac:dyDescent="0.3">
      <c r="A1071" s="42" t="s">
        <v>264</v>
      </c>
      <c r="B1071" s="4"/>
    </row>
    <row r="1073" spans="1:21" x14ac:dyDescent="0.3">
      <c r="A1073" s="42" t="s">
        <v>265</v>
      </c>
    </row>
    <row r="1074" spans="1:21" x14ac:dyDescent="0.3">
      <c r="A1074" s="42" t="s">
        <v>266</v>
      </c>
    </row>
    <row r="1075" spans="1:21" x14ac:dyDescent="0.3">
      <c r="A1075" s="42" t="s">
        <v>267</v>
      </c>
      <c r="B1075" s="4"/>
    </row>
    <row r="1077" spans="1:21" x14ac:dyDescent="0.3">
      <c r="A1077" s="44" t="s">
        <v>230</v>
      </c>
      <c r="B1077" s="40" t="s">
        <v>272</v>
      </c>
      <c r="C1077" s="41"/>
      <c r="D1077" s="41"/>
      <c r="E1077" s="41"/>
      <c r="F1077" s="41"/>
      <c r="G1077" s="41"/>
      <c r="H1077" s="41"/>
      <c r="I1077" s="41"/>
      <c r="J1077" s="41"/>
      <c r="K1077" s="41"/>
      <c r="L1077" s="41"/>
      <c r="M1077" s="41"/>
      <c r="N1077" s="41"/>
      <c r="O1077" s="41"/>
      <c r="P1077" s="41"/>
      <c r="Q1077" s="41"/>
      <c r="R1077" s="41"/>
      <c r="S1077" s="41"/>
      <c r="T1077" s="41"/>
      <c r="U1077" s="41"/>
    </row>
    <row r="1079" spans="1:21" ht="28.8" x14ac:dyDescent="0.3">
      <c r="B1079" s="19" t="s">
        <v>0</v>
      </c>
      <c r="C1079" s="33" t="s">
        <v>229</v>
      </c>
      <c r="D1079" s="34" t="s">
        <v>231</v>
      </c>
      <c r="E1079" s="35" t="s">
        <v>232</v>
      </c>
      <c r="F1079" s="38" t="s">
        <v>233</v>
      </c>
      <c r="G1079" s="39"/>
      <c r="H1079" s="38" t="s">
        <v>234</v>
      </c>
      <c r="I1079" s="39"/>
      <c r="J1079" s="38" t="s">
        <v>235</v>
      </c>
      <c r="K1079" s="39"/>
      <c r="L1079" s="39"/>
      <c r="M1079" s="39"/>
      <c r="N1079" s="38" t="s">
        <v>236</v>
      </c>
      <c r="O1079" s="39"/>
      <c r="P1079" s="39"/>
      <c r="Q1079" s="39"/>
      <c r="R1079" s="33" t="s">
        <v>1</v>
      </c>
      <c r="S1079" s="15" t="s">
        <v>228</v>
      </c>
      <c r="T1079" s="15" t="s">
        <v>2</v>
      </c>
      <c r="U1079" s="15" t="s">
        <v>3</v>
      </c>
    </row>
    <row r="1080" spans="1:21" x14ac:dyDescent="0.3">
      <c r="B1080" s="23" cm="1">
        <f t="array" ref="B1080:U1082">'2. Master Tire Specs  '!C1251:V1253</f>
        <v>0</v>
      </c>
      <c r="C1080" s="23">
        <v>0</v>
      </c>
      <c r="D1080" s="24">
        <v>0</v>
      </c>
      <c r="E1080" s="25">
        <v>0</v>
      </c>
      <c r="F1080" s="25">
        <v>0</v>
      </c>
      <c r="G1080" s="26">
        <v>0</v>
      </c>
      <c r="H1080" s="26">
        <v>0</v>
      </c>
      <c r="I1080" s="25">
        <v>0</v>
      </c>
      <c r="J1080" s="26">
        <v>0</v>
      </c>
      <c r="K1080" s="26">
        <v>0</v>
      </c>
      <c r="L1080" s="26">
        <v>0</v>
      </c>
      <c r="M1080" s="23">
        <v>0</v>
      </c>
      <c r="N1080" s="26">
        <v>0</v>
      </c>
      <c r="O1080" s="26">
        <v>0</v>
      </c>
      <c r="P1080" s="23">
        <v>0</v>
      </c>
      <c r="Q1080" s="23">
        <v>0</v>
      </c>
      <c r="R1080" s="23">
        <v>0</v>
      </c>
      <c r="S1080" s="2">
        <v>0</v>
      </c>
      <c r="T1080" s="2">
        <v>0</v>
      </c>
      <c r="U1080" s="2">
        <v>0</v>
      </c>
    </row>
    <row r="1081" spans="1:21" x14ac:dyDescent="0.3">
      <c r="B1081" s="23">
        <v>0</v>
      </c>
      <c r="C1081" s="23">
        <v>0</v>
      </c>
      <c r="D1081" s="24">
        <v>0</v>
      </c>
      <c r="E1081" s="25">
        <v>0</v>
      </c>
      <c r="F1081" s="25">
        <v>0</v>
      </c>
      <c r="G1081" s="26">
        <v>0</v>
      </c>
      <c r="H1081" s="26">
        <v>0</v>
      </c>
      <c r="I1081" s="25">
        <v>0</v>
      </c>
      <c r="J1081" s="26">
        <v>0</v>
      </c>
      <c r="K1081" s="26">
        <v>0</v>
      </c>
      <c r="L1081" s="26">
        <v>0</v>
      </c>
      <c r="M1081" s="26">
        <v>0</v>
      </c>
      <c r="N1081" s="26">
        <v>0</v>
      </c>
      <c r="O1081" s="26">
        <v>0</v>
      </c>
      <c r="P1081" s="23">
        <v>0</v>
      </c>
      <c r="Q1081" s="23">
        <v>0</v>
      </c>
      <c r="R1081" s="23">
        <v>0</v>
      </c>
      <c r="S1081" s="2">
        <v>0</v>
      </c>
      <c r="T1081" s="2">
        <v>0</v>
      </c>
      <c r="U1081" s="2">
        <v>0</v>
      </c>
    </row>
    <row r="1082" spans="1:21" x14ac:dyDescent="0.3">
      <c r="B1082" s="23">
        <v>0</v>
      </c>
      <c r="C1082" s="23">
        <v>0</v>
      </c>
      <c r="D1082" s="24">
        <v>0</v>
      </c>
      <c r="E1082" s="25">
        <v>0</v>
      </c>
      <c r="F1082" s="25">
        <v>0</v>
      </c>
      <c r="G1082" s="26">
        <v>0</v>
      </c>
      <c r="H1082" s="26">
        <v>0</v>
      </c>
      <c r="I1082" s="25">
        <v>0</v>
      </c>
      <c r="J1082" s="26">
        <v>0</v>
      </c>
      <c r="K1082" s="26">
        <v>0</v>
      </c>
      <c r="L1082" s="26">
        <v>0</v>
      </c>
      <c r="M1082" s="26">
        <v>0</v>
      </c>
      <c r="N1082" s="26">
        <v>0</v>
      </c>
      <c r="O1082" s="26">
        <v>0</v>
      </c>
      <c r="P1082" s="23">
        <v>0</v>
      </c>
      <c r="Q1082" s="23">
        <v>0</v>
      </c>
      <c r="R1082" s="23">
        <v>0</v>
      </c>
      <c r="S1082" s="2">
        <v>0</v>
      </c>
      <c r="T1082" s="2">
        <v>0</v>
      </c>
      <c r="U1082" s="2">
        <v>0</v>
      </c>
    </row>
    <row r="1083" spans="1:21" x14ac:dyDescent="0.3">
      <c r="B1083" s="23"/>
      <c r="C1083" s="23"/>
      <c r="D1083" s="24"/>
      <c r="E1083" s="25"/>
      <c r="F1083" s="25"/>
      <c r="G1083" s="26"/>
      <c r="H1083" s="26"/>
      <c r="I1083" s="25"/>
      <c r="J1083" s="26"/>
      <c r="K1083" s="26"/>
      <c r="L1083" s="26"/>
      <c r="M1083" s="26"/>
      <c r="N1083" s="26"/>
      <c r="O1083" s="26"/>
      <c r="P1083" s="23"/>
      <c r="Q1083" s="23"/>
      <c r="R1083" s="23"/>
      <c r="S1083" s="2"/>
      <c r="T1083" s="2"/>
      <c r="U1083" s="2"/>
    </row>
    <row r="1085" spans="1:21" x14ac:dyDescent="0.3">
      <c r="A1085" s="42" t="s">
        <v>245</v>
      </c>
    </row>
    <row r="1086" spans="1:21" x14ac:dyDescent="0.3">
      <c r="A1086" s="42" t="s">
        <v>239</v>
      </c>
    </row>
    <row r="1088" spans="1:21" x14ac:dyDescent="0.3">
      <c r="A1088" s="42" t="s">
        <v>258</v>
      </c>
      <c r="B1088" s="4"/>
    </row>
    <row r="1089" spans="1:2" x14ac:dyDescent="0.3">
      <c r="A1089" s="42" t="s">
        <v>252</v>
      </c>
      <c r="B1089" s="4"/>
    </row>
    <row r="1090" spans="1:2" x14ac:dyDescent="0.3">
      <c r="A1090" s="42" t="s">
        <v>269</v>
      </c>
      <c r="B1090" s="4"/>
    </row>
    <row r="1092" spans="1:2" x14ac:dyDescent="0.3">
      <c r="A1092" s="42" t="s">
        <v>268</v>
      </c>
    </row>
    <row r="1097" spans="1:2" x14ac:dyDescent="0.3">
      <c r="A1097" s="42" t="s">
        <v>260</v>
      </c>
    </row>
    <row r="1098" spans="1:2" x14ac:dyDescent="0.3">
      <c r="A1098" s="42" t="s">
        <v>261</v>
      </c>
    </row>
    <row r="1099" spans="1:2" x14ac:dyDescent="0.3">
      <c r="A1099" s="42" t="s">
        <v>259</v>
      </c>
      <c r="B1099" s="4"/>
    </row>
    <row r="1101" spans="1:2" x14ac:dyDescent="0.3">
      <c r="A1101" s="42" t="s">
        <v>262</v>
      </c>
    </row>
    <row r="1102" spans="1:2" x14ac:dyDescent="0.3">
      <c r="A1102" s="42" t="s">
        <v>263</v>
      </c>
    </row>
    <row r="1103" spans="1:2" x14ac:dyDescent="0.3">
      <c r="A1103" s="42" t="s">
        <v>264</v>
      </c>
      <c r="B1103" s="4"/>
    </row>
    <row r="1105" spans="1:21" x14ac:dyDescent="0.3">
      <c r="A1105" s="42" t="s">
        <v>265</v>
      </c>
    </row>
    <row r="1106" spans="1:21" x14ac:dyDescent="0.3">
      <c r="A1106" s="42" t="s">
        <v>266</v>
      </c>
    </row>
    <row r="1107" spans="1:21" x14ac:dyDescent="0.3">
      <c r="A1107" s="42" t="s">
        <v>267</v>
      </c>
      <c r="B1107" s="4"/>
    </row>
    <row r="1110" spans="1:21" x14ac:dyDescent="0.3">
      <c r="A1110" s="44" t="s">
        <v>230</v>
      </c>
      <c r="B1110" s="40" t="s">
        <v>272</v>
      </c>
      <c r="C1110" s="41"/>
      <c r="D1110" s="41"/>
      <c r="E1110" s="41"/>
      <c r="F1110" s="41"/>
      <c r="G1110" s="41"/>
      <c r="H1110" s="41"/>
      <c r="I1110" s="41"/>
      <c r="J1110" s="41"/>
      <c r="K1110" s="41"/>
      <c r="L1110" s="41"/>
      <c r="M1110" s="41"/>
      <c r="N1110" s="41"/>
      <c r="O1110" s="41"/>
      <c r="P1110" s="41"/>
      <c r="Q1110" s="41"/>
      <c r="R1110" s="41"/>
      <c r="S1110" s="41"/>
      <c r="T1110" s="41"/>
      <c r="U1110" s="41"/>
    </row>
    <row r="1112" spans="1:21" ht="28.8" x14ac:dyDescent="0.3">
      <c r="B1112" s="19" t="s">
        <v>0</v>
      </c>
      <c r="C1112" s="33" t="s">
        <v>229</v>
      </c>
      <c r="D1112" s="34" t="s">
        <v>231</v>
      </c>
      <c r="E1112" s="35" t="s">
        <v>232</v>
      </c>
      <c r="F1112" s="38" t="s">
        <v>233</v>
      </c>
      <c r="G1112" s="39"/>
      <c r="H1112" s="38" t="s">
        <v>234</v>
      </c>
      <c r="I1112" s="39"/>
      <c r="J1112" s="38" t="s">
        <v>235</v>
      </c>
      <c r="K1112" s="39"/>
      <c r="L1112" s="39"/>
      <c r="M1112" s="39"/>
      <c r="N1112" s="38" t="s">
        <v>236</v>
      </c>
      <c r="O1112" s="39"/>
      <c r="P1112" s="39"/>
      <c r="Q1112" s="39"/>
      <c r="R1112" s="33" t="s">
        <v>1</v>
      </c>
      <c r="S1112" s="15" t="s">
        <v>228</v>
      </c>
      <c r="T1112" s="15" t="s">
        <v>2</v>
      </c>
      <c r="U1112" s="15" t="s">
        <v>3</v>
      </c>
    </row>
    <row r="1113" spans="1:21" x14ac:dyDescent="0.3">
      <c r="B1113" s="23" cm="1">
        <f t="array" ref="B1113:U1115">'2. Master Tire Specs  '!C1284:V1286</f>
        <v>0</v>
      </c>
      <c r="C1113" s="23">
        <v>0</v>
      </c>
      <c r="D1113" s="24">
        <v>0</v>
      </c>
      <c r="E1113" s="25">
        <v>0</v>
      </c>
      <c r="F1113" s="25">
        <v>0</v>
      </c>
      <c r="G1113" s="26">
        <v>0</v>
      </c>
      <c r="H1113" s="26">
        <v>0</v>
      </c>
      <c r="I1113" s="25">
        <v>0</v>
      </c>
      <c r="J1113" s="26">
        <v>0</v>
      </c>
      <c r="K1113" s="26">
        <v>0</v>
      </c>
      <c r="L1113" s="26">
        <v>0</v>
      </c>
      <c r="M1113" s="23">
        <v>0</v>
      </c>
      <c r="N1113" s="26">
        <v>0</v>
      </c>
      <c r="O1113" s="26">
        <v>0</v>
      </c>
      <c r="P1113" s="23">
        <v>0</v>
      </c>
      <c r="Q1113" s="23">
        <v>0</v>
      </c>
      <c r="R1113" s="23">
        <v>0</v>
      </c>
      <c r="S1113" s="2">
        <v>0</v>
      </c>
      <c r="T1113" s="2">
        <v>0</v>
      </c>
      <c r="U1113" s="2">
        <v>0</v>
      </c>
    </row>
    <row r="1114" spans="1:21" x14ac:dyDescent="0.3">
      <c r="B1114" s="23">
        <v>0</v>
      </c>
      <c r="C1114" s="23">
        <v>0</v>
      </c>
      <c r="D1114" s="24">
        <v>0</v>
      </c>
      <c r="E1114" s="25">
        <v>0</v>
      </c>
      <c r="F1114" s="25">
        <v>0</v>
      </c>
      <c r="G1114" s="26">
        <v>0</v>
      </c>
      <c r="H1114" s="26">
        <v>0</v>
      </c>
      <c r="I1114" s="25">
        <v>0</v>
      </c>
      <c r="J1114" s="26">
        <v>0</v>
      </c>
      <c r="K1114" s="26">
        <v>0</v>
      </c>
      <c r="L1114" s="26">
        <v>0</v>
      </c>
      <c r="M1114" s="26">
        <v>0</v>
      </c>
      <c r="N1114" s="26">
        <v>0</v>
      </c>
      <c r="O1114" s="26">
        <v>0</v>
      </c>
      <c r="P1114" s="23">
        <v>0</v>
      </c>
      <c r="Q1114" s="23">
        <v>0</v>
      </c>
      <c r="R1114" s="23">
        <v>0</v>
      </c>
      <c r="S1114" s="2">
        <v>0</v>
      </c>
      <c r="T1114" s="2">
        <v>0</v>
      </c>
      <c r="U1114" s="2">
        <v>0</v>
      </c>
    </row>
    <row r="1115" spans="1:21" x14ac:dyDescent="0.3">
      <c r="B1115" s="23">
        <v>0</v>
      </c>
      <c r="C1115" s="23">
        <v>0</v>
      </c>
      <c r="D1115" s="24">
        <v>0</v>
      </c>
      <c r="E1115" s="25">
        <v>0</v>
      </c>
      <c r="F1115" s="25">
        <v>0</v>
      </c>
      <c r="G1115" s="26">
        <v>0</v>
      </c>
      <c r="H1115" s="26">
        <v>0</v>
      </c>
      <c r="I1115" s="25">
        <v>0</v>
      </c>
      <c r="J1115" s="26">
        <v>0</v>
      </c>
      <c r="K1115" s="26">
        <v>0</v>
      </c>
      <c r="L1115" s="26">
        <v>0</v>
      </c>
      <c r="M1115" s="26">
        <v>0</v>
      </c>
      <c r="N1115" s="26">
        <v>0</v>
      </c>
      <c r="O1115" s="26">
        <v>0</v>
      </c>
      <c r="P1115" s="23">
        <v>0</v>
      </c>
      <c r="Q1115" s="23">
        <v>0</v>
      </c>
      <c r="R1115" s="23">
        <v>0</v>
      </c>
      <c r="S1115" s="2">
        <v>0</v>
      </c>
      <c r="T1115" s="2">
        <v>0</v>
      </c>
      <c r="U1115" s="2">
        <v>0</v>
      </c>
    </row>
    <row r="1116" spans="1:21" x14ac:dyDescent="0.3">
      <c r="B1116" s="23"/>
      <c r="C1116" s="23"/>
      <c r="D1116" s="24"/>
      <c r="E1116" s="25"/>
      <c r="F1116" s="25"/>
      <c r="G1116" s="26"/>
      <c r="H1116" s="26"/>
      <c r="I1116" s="25"/>
      <c r="J1116" s="26"/>
      <c r="K1116" s="26"/>
      <c r="L1116" s="26"/>
      <c r="M1116" s="26"/>
      <c r="N1116" s="26"/>
      <c r="O1116" s="26"/>
      <c r="P1116" s="23"/>
      <c r="Q1116" s="23"/>
      <c r="R1116" s="23"/>
      <c r="S1116" s="2"/>
      <c r="T1116" s="2"/>
      <c r="U1116" s="2"/>
    </row>
    <row r="1118" spans="1:21" x14ac:dyDescent="0.3">
      <c r="A1118" s="42" t="s">
        <v>245</v>
      </c>
    </row>
    <row r="1119" spans="1:21" x14ac:dyDescent="0.3">
      <c r="A1119" s="42" t="s">
        <v>239</v>
      </c>
    </row>
    <row r="1121" spans="1:2" x14ac:dyDescent="0.3">
      <c r="A1121" s="42" t="s">
        <v>258</v>
      </c>
      <c r="B1121" s="4"/>
    </row>
    <row r="1122" spans="1:2" x14ac:dyDescent="0.3">
      <c r="A1122" s="42" t="s">
        <v>252</v>
      </c>
      <c r="B1122" s="4"/>
    </row>
    <row r="1123" spans="1:2" x14ac:dyDescent="0.3">
      <c r="A1123" s="42" t="s">
        <v>269</v>
      </c>
      <c r="B1123" s="4"/>
    </row>
    <row r="1125" spans="1:2" x14ac:dyDescent="0.3">
      <c r="A1125" s="42" t="s">
        <v>268</v>
      </c>
    </row>
    <row r="1130" spans="1:2" x14ac:dyDescent="0.3">
      <c r="A1130" s="42" t="s">
        <v>260</v>
      </c>
    </row>
    <row r="1131" spans="1:2" x14ac:dyDescent="0.3">
      <c r="A1131" s="42" t="s">
        <v>261</v>
      </c>
    </row>
    <row r="1132" spans="1:2" x14ac:dyDescent="0.3">
      <c r="A1132" s="42" t="s">
        <v>259</v>
      </c>
      <c r="B1132" s="4"/>
    </row>
    <row r="1134" spans="1:2" x14ac:dyDescent="0.3">
      <c r="A1134" s="42" t="s">
        <v>262</v>
      </c>
    </row>
    <row r="1135" spans="1:2" x14ac:dyDescent="0.3">
      <c r="A1135" s="42" t="s">
        <v>263</v>
      </c>
    </row>
    <row r="1136" spans="1:2" x14ac:dyDescent="0.3">
      <c r="A1136" s="42" t="s">
        <v>264</v>
      </c>
      <c r="B1136" s="4"/>
    </row>
    <row r="1138" spans="1:21" x14ac:dyDescent="0.3">
      <c r="A1138" s="42" t="s">
        <v>265</v>
      </c>
    </row>
    <row r="1139" spans="1:21" x14ac:dyDescent="0.3">
      <c r="A1139" s="42" t="s">
        <v>266</v>
      </c>
    </row>
    <row r="1140" spans="1:21" x14ac:dyDescent="0.3">
      <c r="A1140" s="42" t="s">
        <v>267</v>
      </c>
      <c r="B1140" s="4"/>
    </row>
    <row r="1142" spans="1:21" x14ac:dyDescent="0.3">
      <c r="A1142" s="44" t="s">
        <v>230</v>
      </c>
      <c r="B1142" s="40" t="s">
        <v>272</v>
      </c>
      <c r="C1142" s="41"/>
      <c r="D1142" s="41"/>
      <c r="E1142" s="41"/>
      <c r="F1142" s="41"/>
      <c r="G1142" s="41"/>
      <c r="H1142" s="41"/>
      <c r="I1142" s="41"/>
      <c r="J1142" s="41"/>
      <c r="K1142" s="41"/>
      <c r="L1142" s="41"/>
      <c r="M1142" s="41"/>
      <c r="N1142" s="41"/>
      <c r="O1142" s="41"/>
      <c r="P1142" s="41"/>
      <c r="Q1142" s="41"/>
      <c r="R1142" s="41"/>
      <c r="S1142" s="41"/>
      <c r="T1142" s="41"/>
      <c r="U1142" s="41"/>
    </row>
    <row r="1144" spans="1:21" ht="28.8" x14ac:dyDescent="0.3">
      <c r="B1144" s="19" t="s">
        <v>0</v>
      </c>
      <c r="C1144" s="33" t="s">
        <v>229</v>
      </c>
      <c r="D1144" s="34" t="s">
        <v>231</v>
      </c>
      <c r="E1144" s="35" t="s">
        <v>232</v>
      </c>
      <c r="F1144" s="38" t="s">
        <v>233</v>
      </c>
      <c r="G1144" s="39"/>
      <c r="H1144" s="38" t="s">
        <v>234</v>
      </c>
      <c r="I1144" s="39"/>
      <c r="J1144" s="38" t="s">
        <v>235</v>
      </c>
      <c r="K1144" s="39"/>
      <c r="L1144" s="39"/>
      <c r="M1144" s="39"/>
      <c r="N1144" s="38" t="s">
        <v>236</v>
      </c>
      <c r="O1144" s="39"/>
      <c r="P1144" s="39"/>
      <c r="Q1144" s="39"/>
      <c r="R1144" s="33" t="s">
        <v>1</v>
      </c>
      <c r="S1144" s="15" t="s">
        <v>228</v>
      </c>
      <c r="T1144" s="15" t="s">
        <v>2</v>
      </c>
      <c r="U1144" s="15" t="s">
        <v>3</v>
      </c>
    </row>
    <row r="1145" spans="1:21" x14ac:dyDescent="0.3">
      <c r="B1145" s="23" cm="1">
        <f t="array" ref="B1145:U1147">'2. Master Tire Specs  '!C1316:V1318</f>
        <v>0</v>
      </c>
      <c r="C1145" s="23">
        <v>0</v>
      </c>
      <c r="D1145" s="24">
        <v>0</v>
      </c>
      <c r="E1145" s="25">
        <v>0</v>
      </c>
      <c r="F1145" s="25">
        <v>0</v>
      </c>
      <c r="G1145" s="26">
        <v>0</v>
      </c>
      <c r="H1145" s="26">
        <v>0</v>
      </c>
      <c r="I1145" s="25">
        <v>0</v>
      </c>
      <c r="J1145" s="26">
        <v>0</v>
      </c>
      <c r="K1145" s="26">
        <v>0</v>
      </c>
      <c r="L1145" s="26">
        <v>0</v>
      </c>
      <c r="M1145" s="23">
        <v>0</v>
      </c>
      <c r="N1145" s="26">
        <v>0</v>
      </c>
      <c r="O1145" s="26">
        <v>0</v>
      </c>
      <c r="P1145" s="23">
        <v>0</v>
      </c>
      <c r="Q1145" s="23">
        <v>0</v>
      </c>
      <c r="R1145" s="23">
        <v>0</v>
      </c>
      <c r="S1145" s="2">
        <v>0</v>
      </c>
      <c r="T1145" s="2">
        <v>0</v>
      </c>
      <c r="U1145" s="2">
        <v>0</v>
      </c>
    </row>
    <row r="1146" spans="1:21" x14ac:dyDescent="0.3">
      <c r="B1146" s="23">
        <v>0</v>
      </c>
      <c r="C1146" s="23">
        <v>0</v>
      </c>
      <c r="D1146" s="24">
        <v>0</v>
      </c>
      <c r="E1146" s="25">
        <v>0</v>
      </c>
      <c r="F1146" s="25">
        <v>0</v>
      </c>
      <c r="G1146" s="26">
        <v>0</v>
      </c>
      <c r="H1146" s="26">
        <v>0</v>
      </c>
      <c r="I1146" s="25">
        <v>0</v>
      </c>
      <c r="J1146" s="26">
        <v>0</v>
      </c>
      <c r="K1146" s="26">
        <v>0</v>
      </c>
      <c r="L1146" s="26">
        <v>0</v>
      </c>
      <c r="M1146" s="26">
        <v>0</v>
      </c>
      <c r="N1146" s="26">
        <v>0</v>
      </c>
      <c r="O1146" s="26">
        <v>0</v>
      </c>
      <c r="P1146" s="23">
        <v>0</v>
      </c>
      <c r="Q1146" s="23">
        <v>0</v>
      </c>
      <c r="R1146" s="23">
        <v>0</v>
      </c>
      <c r="S1146" s="2">
        <v>0</v>
      </c>
      <c r="T1146" s="2">
        <v>0</v>
      </c>
      <c r="U1146" s="2">
        <v>0</v>
      </c>
    </row>
    <row r="1147" spans="1:21" x14ac:dyDescent="0.3">
      <c r="B1147" s="23">
        <v>0</v>
      </c>
      <c r="C1147" s="23">
        <v>0</v>
      </c>
      <c r="D1147" s="24">
        <v>0</v>
      </c>
      <c r="E1147" s="25">
        <v>0</v>
      </c>
      <c r="F1147" s="25">
        <v>0</v>
      </c>
      <c r="G1147" s="26">
        <v>0</v>
      </c>
      <c r="H1147" s="26">
        <v>0</v>
      </c>
      <c r="I1147" s="25">
        <v>0</v>
      </c>
      <c r="J1147" s="26">
        <v>0</v>
      </c>
      <c r="K1147" s="26">
        <v>0</v>
      </c>
      <c r="L1147" s="26">
        <v>0</v>
      </c>
      <c r="M1147" s="26">
        <v>0</v>
      </c>
      <c r="N1147" s="26">
        <v>0</v>
      </c>
      <c r="O1147" s="26">
        <v>0</v>
      </c>
      <c r="P1147" s="23">
        <v>0</v>
      </c>
      <c r="Q1147" s="23">
        <v>0</v>
      </c>
      <c r="R1147" s="23">
        <v>0</v>
      </c>
      <c r="S1147" s="2">
        <v>0</v>
      </c>
      <c r="T1147" s="2">
        <v>0</v>
      </c>
      <c r="U1147" s="2">
        <v>0</v>
      </c>
    </row>
    <row r="1148" spans="1:21" x14ac:dyDescent="0.3">
      <c r="B1148" s="23"/>
      <c r="C1148" s="23"/>
      <c r="D1148" s="24"/>
      <c r="E1148" s="25"/>
      <c r="F1148" s="25"/>
      <c r="G1148" s="26"/>
      <c r="H1148" s="26"/>
      <c r="I1148" s="25"/>
      <c r="J1148" s="26"/>
      <c r="K1148" s="26"/>
      <c r="L1148" s="26"/>
      <c r="M1148" s="26"/>
      <c r="N1148" s="26"/>
      <c r="O1148" s="26"/>
      <c r="P1148" s="23"/>
      <c r="Q1148" s="23"/>
      <c r="R1148" s="23"/>
      <c r="S1148" s="2"/>
      <c r="T1148" s="2"/>
      <c r="U1148" s="2"/>
    </row>
    <row r="1150" spans="1:21" x14ac:dyDescent="0.3">
      <c r="A1150" s="42" t="s">
        <v>245</v>
      </c>
    </row>
    <row r="1151" spans="1:21" x14ac:dyDescent="0.3">
      <c r="A1151" s="42" t="s">
        <v>239</v>
      </c>
    </row>
    <row r="1153" spans="1:2" x14ac:dyDescent="0.3">
      <c r="A1153" s="42" t="s">
        <v>258</v>
      </c>
      <c r="B1153" s="4"/>
    </row>
    <row r="1154" spans="1:2" x14ac:dyDescent="0.3">
      <c r="A1154" s="42" t="s">
        <v>252</v>
      </c>
      <c r="B1154" s="4"/>
    </row>
    <row r="1155" spans="1:2" x14ac:dyDescent="0.3">
      <c r="A1155" s="42" t="s">
        <v>269</v>
      </c>
      <c r="B1155" s="4"/>
    </row>
    <row r="1157" spans="1:2" x14ac:dyDescent="0.3">
      <c r="A1157" s="42" t="s">
        <v>268</v>
      </c>
    </row>
    <row r="1162" spans="1:2" x14ac:dyDescent="0.3">
      <c r="A1162" s="42" t="s">
        <v>260</v>
      </c>
    </row>
    <row r="1163" spans="1:2" x14ac:dyDescent="0.3">
      <c r="A1163" s="42" t="s">
        <v>261</v>
      </c>
    </row>
    <row r="1164" spans="1:2" x14ac:dyDescent="0.3">
      <c r="A1164" s="42" t="s">
        <v>259</v>
      </c>
      <c r="B1164" s="4"/>
    </row>
    <row r="1166" spans="1:2" x14ac:dyDescent="0.3">
      <c r="A1166" s="42" t="s">
        <v>262</v>
      </c>
    </row>
    <row r="1167" spans="1:2" x14ac:dyDescent="0.3">
      <c r="A1167" s="42" t="s">
        <v>263</v>
      </c>
    </row>
    <row r="1168" spans="1:2" x14ac:dyDescent="0.3">
      <c r="A1168" s="42" t="s">
        <v>264</v>
      </c>
      <c r="B1168" s="4"/>
    </row>
    <row r="1170" spans="1:21" x14ac:dyDescent="0.3">
      <c r="A1170" s="42" t="s">
        <v>265</v>
      </c>
    </row>
    <row r="1171" spans="1:21" x14ac:dyDescent="0.3">
      <c r="A1171" s="42" t="s">
        <v>266</v>
      </c>
    </row>
    <row r="1172" spans="1:21" x14ac:dyDescent="0.3">
      <c r="A1172" s="42" t="s">
        <v>267</v>
      </c>
      <c r="B1172" s="4"/>
    </row>
    <row r="1175" spans="1:21" x14ac:dyDescent="0.3">
      <c r="A1175" s="44" t="s">
        <v>230</v>
      </c>
      <c r="B1175" s="40" t="s">
        <v>272</v>
      </c>
      <c r="C1175" s="41"/>
      <c r="D1175" s="41"/>
      <c r="E1175" s="41"/>
      <c r="F1175" s="41"/>
      <c r="G1175" s="41"/>
      <c r="H1175" s="41"/>
      <c r="I1175" s="41"/>
      <c r="J1175" s="41"/>
      <c r="K1175" s="41"/>
      <c r="L1175" s="41"/>
      <c r="M1175" s="41"/>
      <c r="N1175" s="41"/>
      <c r="O1175" s="41"/>
      <c r="P1175" s="41"/>
      <c r="Q1175" s="41"/>
      <c r="R1175" s="41"/>
      <c r="S1175" s="41"/>
      <c r="T1175" s="41"/>
      <c r="U1175" s="41"/>
    </row>
    <row r="1177" spans="1:21" ht="28.8" x14ac:dyDescent="0.3">
      <c r="B1177" s="19" t="s">
        <v>0</v>
      </c>
      <c r="C1177" s="33" t="s">
        <v>229</v>
      </c>
      <c r="D1177" s="34" t="s">
        <v>231</v>
      </c>
      <c r="E1177" s="35" t="s">
        <v>232</v>
      </c>
      <c r="F1177" s="38" t="s">
        <v>233</v>
      </c>
      <c r="G1177" s="39"/>
      <c r="H1177" s="38" t="s">
        <v>234</v>
      </c>
      <c r="I1177" s="39"/>
      <c r="J1177" s="38" t="s">
        <v>235</v>
      </c>
      <c r="K1177" s="39"/>
      <c r="L1177" s="39"/>
      <c r="M1177" s="39"/>
      <c r="N1177" s="38" t="s">
        <v>236</v>
      </c>
      <c r="O1177" s="39"/>
      <c r="P1177" s="39"/>
      <c r="Q1177" s="39"/>
      <c r="R1177" s="33" t="s">
        <v>1</v>
      </c>
      <c r="S1177" s="15" t="s">
        <v>228</v>
      </c>
      <c r="T1177" s="15" t="s">
        <v>2</v>
      </c>
      <c r="U1177" s="15" t="s">
        <v>3</v>
      </c>
    </row>
    <row r="1178" spans="1:21" x14ac:dyDescent="0.3">
      <c r="B1178" s="23" cm="1">
        <f t="array" ref="B1178:U1180">'2. Master Tire Specs  '!C1349:V1351</f>
        <v>0</v>
      </c>
      <c r="C1178" s="23">
        <v>0</v>
      </c>
      <c r="D1178" s="24">
        <v>0</v>
      </c>
      <c r="E1178" s="25">
        <v>0</v>
      </c>
      <c r="F1178" s="25">
        <v>0</v>
      </c>
      <c r="G1178" s="26">
        <v>0</v>
      </c>
      <c r="H1178" s="26">
        <v>0</v>
      </c>
      <c r="I1178" s="25">
        <v>0</v>
      </c>
      <c r="J1178" s="26">
        <v>0</v>
      </c>
      <c r="K1178" s="26">
        <v>0</v>
      </c>
      <c r="L1178" s="26">
        <v>0</v>
      </c>
      <c r="M1178" s="23">
        <v>0</v>
      </c>
      <c r="N1178" s="26">
        <v>0</v>
      </c>
      <c r="O1178" s="26">
        <v>0</v>
      </c>
      <c r="P1178" s="23">
        <v>0</v>
      </c>
      <c r="Q1178" s="23">
        <v>0</v>
      </c>
      <c r="R1178" s="23">
        <v>0</v>
      </c>
      <c r="S1178" s="2">
        <v>0</v>
      </c>
      <c r="T1178" s="2">
        <v>0</v>
      </c>
      <c r="U1178" s="2">
        <v>0</v>
      </c>
    </row>
    <row r="1179" spans="1:21" x14ac:dyDescent="0.3">
      <c r="B1179" s="23">
        <v>0</v>
      </c>
      <c r="C1179" s="23">
        <v>0</v>
      </c>
      <c r="D1179" s="24">
        <v>0</v>
      </c>
      <c r="E1179" s="25">
        <v>0</v>
      </c>
      <c r="F1179" s="25">
        <v>0</v>
      </c>
      <c r="G1179" s="26">
        <v>0</v>
      </c>
      <c r="H1179" s="26">
        <v>0</v>
      </c>
      <c r="I1179" s="25">
        <v>0</v>
      </c>
      <c r="J1179" s="26">
        <v>0</v>
      </c>
      <c r="K1179" s="26">
        <v>0</v>
      </c>
      <c r="L1179" s="26">
        <v>0</v>
      </c>
      <c r="M1179" s="26">
        <v>0</v>
      </c>
      <c r="N1179" s="26">
        <v>0</v>
      </c>
      <c r="O1179" s="26">
        <v>0</v>
      </c>
      <c r="P1179" s="23">
        <v>0</v>
      </c>
      <c r="Q1179" s="23">
        <v>0</v>
      </c>
      <c r="R1179" s="23">
        <v>0</v>
      </c>
      <c r="S1179" s="2">
        <v>0</v>
      </c>
      <c r="T1179" s="2">
        <v>0</v>
      </c>
      <c r="U1179" s="2">
        <v>0</v>
      </c>
    </row>
    <row r="1180" spans="1:21" x14ac:dyDescent="0.3">
      <c r="B1180" s="23">
        <v>0</v>
      </c>
      <c r="C1180" s="23">
        <v>0</v>
      </c>
      <c r="D1180" s="24">
        <v>0</v>
      </c>
      <c r="E1180" s="25">
        <v>0</v>
      </c>
      <c r="F1180" s="25">
        <v>0</v>
      </c>
      <c r="G1180" s="26">
        <v>0</v>
      </c>
      <c r="H1180" s="26">
        <v>0</v>
      </c>
      <c r="I1180" s="25">
        <v>0</v>
      </c>
      <c r="J1180" s="26">
        <v>0</v>
      </c>
      <c r="K1180" s="26">
        <v>0</v>
      </c>
      <c r="L1180" s="26">
        <v>0</v>
      </c>
      <c r="M1180" s="26">
        <v>0</v>
      </c>
      <c r="N1180" s="26">
        <v>0</v>
      </c>
      <c r="O1180" s="26">
        <v>0</v>
      </c>
      <c r="P1180" s="23">
        <v>0</v>
      </c>
      <c r="Q1180" s="23">
        <v>0</v>
      </c>
      <c r="R1180" s="23">
        <v>0</v>
      </c>
      <c r="S1180" s="2">
        <v>0</v>
      </c>
      <c r="T1180" s="2">
        <v>0</v>
      </c>
      <c r="U1180" s="2">
        <v>0</v>
      </c>
    </row>
    <row r="1181" spans="1:21" x14ac:dyDescent="0.3">
      <c r="B1181" s="23"/>
      <c r="C1181" s="23"/>
      <c r="D1181" s="24"/>
      <c r="E1181" s="25"/>
      <c r="F1181" s="25"/>
      <c r="G1181" s="26"/>
      <c r="H1181" s="26"/>
      <c r="I1181" s="25"/>
      <c r="J1181" s="26"/>
      <c r="K1181" s="26"/>
      <c r="L1181" s="26"/>
      <c r="M1181" s="26"/>
      <c r="N1181" s="26"/>
      <c r="O1181" s="26"/>
      <c r="P1181" s="23"/>
      <c r="Q1181" s="23"/>
      <c r="R1181" s="23"/>
      <c r="S1181" s="2"/>
      <c r="T1181" s="2"/>
      <c r="U1181" s="2"/>
    </row>
    <row r="1183" spans="1:21" x14ac:dyDescent="0.3">
      <c r="A1183" s="42" t="s">
        <v>245</v>
      </c>
    </row>
    <row r="1184" spans="1:21" x14ac:dyDescent="0.3">
      <c r="A1184" s="42" t="s">
        <v>239</v>
      </c>
    </row>
    <row r="1186" spans="1:2" x14ac:dyDescent="0.3">
      <c r="A1186" s="42" t="s">
        <v>258</v>
      </c>
      <c r="B1186" s="4"/>
    </row>
    <row r="1187" spans="1:2" x14ac:dyDescent="0.3">
      <c r="A1187" s="42" t="s">
        <v>252</v>
      </c>
      <c r="B1187" s="4"/>
    </row>
    <row r="1188" spans="1:2" x14ac:dyDescent="0.3">
      <c r="A1188" s="42" t="s">
        <v>269</v>
      </c>
      <c r="B1188" s="4"/>
    </row>
    <row r="1190" spans="1:2" x14ac:dyDescent="0.3">
      <c r="A1190" s="42" t="s">
        <v>268</v>
      </c>
    </row>
    <row r="1195" spans="1:2" x14ac:dyDescent="0.3">
      <c r="A1195" s="42" t="s">
        <v>260</v>
      </c>
    </row>
    <row r="1196" spans="1:2" x14ac:dyDescent="0.3">
      <c r="A1196" s="42" t="s">
        <v>261</v>
      </c>
    </row>
    <row r="1197" spans="1:2" x14ac:dyDescent="0.3">
      <c r="A1197" s="42" t="s">
        <v>259</v>
      </c>
      <c r="B1197" s="4"/>
    </row>
    <row r="1199" spans="1:2" x14ac:dyDescent="0.3">
      <c r="A1199" s="42" t="s">
        <v>262</v>
      </c>
    </row>
    <row r="1200" spans="1:2" x14ac:dyDescent="0.3">
      <c r="A1200" s="42" t="s">
        <v>263</v>
      </c>
    </row>
    <row r="1201" spans="1:21" x14ac:dyDescent="0.3">
      <c r="A1201" s="42" t="s">
        <v>264</v>
      </c>
      <c r="B1201" s="4"/>
    </row>
    <row r="1203" spans="1:21" x14ac:dyDescent="0.3">
      <c r="A1203" s="42" t="s">
        <v>265</v>
      </c>
    </row>
    <row r="1204" spans="1:21" x14ac:dyDescent="0.3">
      <c r="A1204" s="42" t="s">
        <v>266</v>
      </c>
    </row>
    <row r="1205" spans="1:21" x14ac:dyDescent="0.3">
      <c r="A1205" s="42" t="s">
        <v>267</v>
      </c>
      <c r="B1205" s="4"/>
    </row>
    <row r="1208" spans="1:21" x14ac:dyDescent="0.3">
      <c r="A1208" s="44" t="s">
        <v>230</v>
      </c>
      <c r="B1208" s="40" t="s">
        <v>272</v>
      </c>
      <c r="C1208" s="41"/>
      <c r="D1208" s="41"/>
      <c r="E1208" s="41"/>
      <c r="F1208" s="41"/>
      <c r="G1208" s="41"/>
      <c r="H1208" s="41"/>
      <c r="I1208" s="41"/>
      <c r="J1208" s="41"/>
      <c r="K1208" s="41"/>
      <c r="L1208" s="41"/>
      <c r="M1208" s="41"/>
      <c r="N1208" s="41"/>
      <c r="O1208" s="41"/>
      <c r="P1208" s="41"/>
      <c r="Q1208" s="41"/>
      <c r="R1208" s="41"/>
      <c r="S1208" s="41"/>
      <c r="T1208" s="41"/>
      <c r="U1208" s="41"/>
    </row>
    <row r="1210" spans="1:21" ht="28.8" x14ac:dyDescent="0.3">
      <c r="B1210" s="19" t="s">
        <v>0</v>
      </c>
      <c r="C1210" s="33" t="s">
        <v>229</v>
      </c>
      <c r="D1210" s="34" t="s">
        <v>231</v>
      </c>
      <c r="E1210" s="35" t="s">
        <v>232</v>
      </c>
      <c r="F1210" s="38" t="s">
        <v>233</v>
      </c>
      <c r="G1210" s="39"/>
      <c r="H1210" s="38" t="s">
        <v>234</v>
      </c>
      <c r="I1210" s="39"/>
      <c r="J1210" s="38" t="s">
        <v>235</v>
      </c>
      <c r="K1210" s="39"/>
      <c r="L1210" s="39"/>
      <c r="M1210" s="39"/>
      <c r="N1210" s="38" t="s">
        <v>236</v>
      </c>
      <c r="O1210" s="39"/>
      <c r="P1210" s="39"/>
      <c r="Q1210" s="39"/>
      <c r="R1210" s="33" t="s">
        <v>1</v>
      </c>
      <c r="S1210" s="15" t="s">
        <v>228</v>
      </c>
      <c r="T1210" s="15" t="s">
        <v>2</v>
      </c>
      <c r="U1210" s="15" t="s">
        <v>3</v>
      </c>
    </row>
    <row r="1211" spans="1:21" x14ac:dyDescent="0.3">
      <c r="B1211" s="23" cm="1">
        <f t="array" ref="B1211:U1213">'2. Master Tire Specs  '!C1382:V1384</f>
        <v>0</v>
      </c>
      <c r="C1211" s="23">
        <v>0</v>
      </c>
      <c r="D1211" s="24">
        <v>0</v>
      </c>
      <c r="E1211" s="25">
        <v>0</v>
      </c>
      <c r="F1211" s="25">
        <v>0</v>
      </c>
      <c r="G1211" s="26">
        <v>0</v>
      </c>
      <c r="H1211" s="26">
        <v>0</v>
      </c>
      <c r="I1211" s="25">
        <v>0</v>
      </c>
      <c r="J1211" s="26">
        <v>0</v>
      </c>
      <c r="K1211" s="26">
        <v>0</v>
      </c>
      <c r="L1211" s="26">
        <v>0</v>
      </c>
      <c r="M1211" s="23">
        <v>0</v>
      </c>
      <c r="N1211" s="26">
        <v>0</v>
      </c>
      <c r="O1211" s="26">
        <v>0</v>
      </c>
      <c r="P1211" s="23">
        <v>0</v>
      </c>
      <c r="Q1211" s="23">
        <v>0</v>
      </c>
      <c r="R1211" s="23">
        <v>0</v>
      </c>
      <c r="S1211" s="2">
        <v>0</v>
      </c>
      <c r="T1211" s="2">
        <v>0</v>
      </c>
      <c r="U1211" s="2">
        <v>0</v>
      </c>
    </row>
    <row r="1212" spans="1:21" x14ac:dyDescent="0.3">
      <c r="B1212" s="23">
        <v>0</v>
      </c>
      <c r="C1212" s="23">
        <v>0</v>
      </c>
      <c r="D1212" s="24">
        <v>0</v>
      </c>
      <c r="E1212" s="25">
        <v>0</v>
      </c>
      <c r="F1212" s="25">
        <v>0</v>
      </c>
      <c r="G1212" s="26">
        <v>0</v>
      </c>
      <c r="H1212" s="26">
        <v>0</v>
      </c>
      <c r="I1212" s="25">
        <v>0</v>
      </c>
      <c r="J1212" s="26">
        <v>0</v>
      </c>
      <c r="K1212" s="26">
        <v>0</v>
      </c>
      <c r="L1212" s="26">
        <v>0</v>
      </c>
      <c r="M1212" s="26">
        <v>0</v>
      </c>
      <c r="N1212" s="26">
        <v>0</v>
      </c>
      <c r="O1212" s="26">
        <v>0</v>
      </c>
      <c r="P1212" s="23">
        <v>0</v>
      </c>
      <c r="Q1212" s="23">
        <v>0</v>
      </c>
      <c r="R1212" s="23">
        <v>0</v>
      </c>
      <c r="S1212" s="2">
        <v>0</v>
      </c>
      <c r="T1212" s="2">
        <v>0</v>
      </c>
      <c r="U1212" s="2">
        <v>0</v>
      </c>
    </row>
    <row r="1213" spans="1:21" x14ac:dyDescent="0.3">
      <c r="B1213" s="23">
        <v>0</v>
      </c>
      <c r="C1213" s="23">
        <v>0</v>
      </c>
      <c r="D1213" s="24">
        <v>0</v>
      </c>
      <c r="E1213" s="25">
        <v>0</v>
      </c>
      <c r="F1213" s="25">
        <v>0</v>
      </c>
      <c r="G1213" s="26">
        <v>0</v>
      </c>
      <c r="H1213" s="26">
        <v>0</v>
      </c>
      <c r="I1213" s="25">
        <v>0</v>
      </c>
      <c r="J1213" s="26">
        <v>0</v>
      </c>
      <c r="K1213" s="26">
        <v>0</v>
      </c>
      <c r="L1213" s="26">
        <v>0</v>
      </c>
      <c r="M1213" s="26">
        <v>0</v>
      </c>
      <c r="N1213" s="26">
        <v>0</v>
      </c>
      <c r="O1213" s="26">
        <v>0</v>
      </c>
      <c r="P1213" s="23">
        <v>0</v>
      </c>
      <c r="Q1213" s="23">
        <v>0</v>
      </c>
      <c r="R1213" s="23">
        <v>0</v>
      </c>
      <c r="S1213" s="2">
        <v>0</v>
      </c>
      <c r="T1213" s="2">
        <v>0</v>
      </c>
      <c r="U1213" s="2">
        <v>0</v>
      </c>
    </row>
    <row r="1214" spans="1:21" x14ac:dyDescent="0.3">
      <c r="B1214" s="23"/>
      <c r="C1214" s="23"/>
      <c r="D1214" s="24"/>
      <c r="E1214" s="25"/>
      <c r="F1214" s="25"/>
      <c r="G1214" s="26"/>
      <c r="H1214" s="26"/>
      <c r="I1214" s="25"/>
      <c r="J1214" s="26"/>
      <c r="K1214" s="26"/>
      <c r="L1214" s="26"/>
      <c r="M1214" s="26"/>
      <c r="N1214" s="26"/>
      <c r="O1214" s="26"/>
      <c r="P1214" s="23"/>
      <c r="Q1214" s="23"/>
      <c r="R1214" s="23"/>
      <c r="S1214" s="2"/>
      <c r="T1214" s="2"/>
      <c r="U1214" s="2"/>
    </row>
    <row r="1216" spans="1:21" x14ac:dyDescent="0.3">
      <c r="A1216" s="42" t="s">
        <v>245</v>
      </c>
    </row>
    <row r="1217" spans="1:2" x14ac:dyDescent="0.3">
      <c r="A1217" s="42" t="s">
        <v>239</v>
      </c>
    </row>
    <row r="1219" spans="1:2" x14ac:dyDescent="0.3">
      <c r="A1219" s="42" t="s">
        <v>258</v>
      </c>
      <c r="B1219" s="4"/>
    </row>
    <row r="1220" spans="1:2" x14ac:dyDescent="0.3">
      <c r="A1220" s="42" t="s">
        <v>252</v>
      </c>
      <c r="B1220" s="4"/>
    </row>
    <row r="1221" spans="1:2" x14ac:dyDescent="0.3">
      <c r="A1221" s="42" t="s">
        <v>269</v>
      </c>
      <c r="B1221" s="4"/>
    </row>
    <row r="1223" spans="1:2" x14ac:dyDescent="0.3">
      <c r="A1223" s="42" t="s">
        <v>268</v>
      </c>
    </row>
    <row r="1228" spans="1:2" x14ac:dyDescent="0.3">
      <c r="A1228" s="42" t="s">
        <v>260</v>
      </c>
    </row>
    <row r="1229" spans="1:2" x14ac:dyDescent="0.3">
      <c r="A1229" s="42" t="s">
        <v>261</v>
      </c>
    </row>
    <row r="1230" spans="1:2" x14ac:dyDescent="0.3">
      <c r="A1230" s="42" t="s">
        <v>259</v>
      </c>
      <c r="B1230" s="4"/>
    </row>
    <row r="1232" spans="1:2" x14ac:dyDescent="0.3">
      <c r="A1232" s="42" t="s">
        <v>262</v>
      </c>
    </row>
    <row r="1233" spans="1:21" x14ac:dyDescent="0.3">
      <c r="A1233" s="42" t="s">
        <v>263</v>
      </c>
    </row>
    <row r="1234" spans="1:21" x14ac:dyDescent="0.3">
      <c r="A1234" s="42" t="s">
        <v>264</v>
      </c>
      <c r="B1234" s="4"/>
    </row>
    <row r="1236" spans="1:21" x14ac:dyDescent="0.3">
      <c r="A1236" s="42" t="s">
        <v>265</v>
      </c>
    </row>
    <row r="1237" spans="1:21" x14ac:dyDescent="0.3">
      <c r="A1237" s="42" t="s">
        <v>266</v>
      </c>
    </row>
    <row r="1238" spans="1:21" x14ac:dyDescent="0.3">
      <c r="A1238" s="42" t="s">
        <v>267</v>
      </c>
      <c r="B1238" s="4"/>
    </row>
    <row r="1240" spans="1:21" x14ac:dyDescent="0.3">
      <c r="A1240" s="44" t="s">
        <v>230</v>
      </c>
      <c r="B1240" s="40" t="s">
        <v>272</v>
      </c>
      <c r="C1240" s="41"/>
      <c r="D1240" s="41"/>
      <c r="E1240" s="41"/>
      <c r="F1240" s="41"/>
      <c r="G1240" s="41"/>
      <c r="H1240" s="41"/>
      <c r="I1240" s="41"/>
      <c r="J1240" s="41"/>
      <c r="K1240" s="41"/>
      <c r="L1240" s="41"/>
      <c r="M1240" s="41"/>
      <c r="N1240" s="41"/>
      <c r="O1240" s="41"/>
      <c r="P1240" s="41"/>
      <c r="Q1240" s="41"/>
      <c r="R1240" s="41"/>
      <c r="S1240" s="41"/>
      <c r="T1240" s="41"/>
      <c r="U1240" s="41"/>
    </row>
    <row r="1242" spans="1:21" ht="28.8" x14ac:dyDescent="0.3">
      <c r="B1242" s="19" t="s">
        <v>0</v>
      </c>
      <c r="C1242" s="33" t="s">
        <v>229</v>
      </c>
      <c r="D1242" s="34" t="s">
        <v>231</v>
      </c>
      <c r="E1242" s="35" t="s">
        <v>232</v>
      </c>
      <c r="F1242" s="38" t="s">
        <v>233</v>
      </c>
      <c r="G1242" s="39"/>
      <c r="H1242" s="38" t="s">
        <v>234</v>
      </c>
      <c r="I1242" s="39"/>
      <c r="J1242" s="38" t="s">
        <v>235</v>
      </c>
      <c r="K1242" s="39"/>
      <c r="L1242" s="39"/>
      <c r="M1242" s="39"/>
      <c r="N1242" s="38" t="s">
        <v>236</v>
      </c>
      <c r="O1242" s="39"/>
      <c r="P1242" s="39"/>
      <c r="Q1242" s="39"/>
      <c r="R1242" s="33" t="s">
        <v>1</v>
      </c>
      <c r="S1242" s="15" t="s">
        <v>228</v>
      </c>
      <c r="T1242" s="15" t="s">
        <v>2</v>
      </c>
      <c r="U1242" s="15" t="s">
        <v>3</v>
      </c>
    </row>
    <row r="1243" spans="1:21" x14ac:dyDescent="0.3">
      <c r="B1243" s="23" cm="1">
        <f t="array" ref="B1243:U1245">'2. Master Tire Specs  '!C1414:V1416</f>
        <v>0</v>
      </c>
      <c r="C1243" s="23">
        <v>0</v>
      </c>
      <c r="D1243" s="24">
        <v>0</v>
      </c>
      <c r="E1243" s="25">
        <v>0</v>
      </c>
      <c r="F1243" s="25">
        <v>0</v>
      </c>
      <c r="G1243" s="26">
        <v>0</v>
      </c>
      <c r="H1243" s="26">
        <v>0</v>
      </c>
      <c r="I1243" s="25">
        <v>0</v>
      </c>
      <c r="J1243" s="26">
        <v>0</v>
      </c>
      <c r="K1243" s="26">
        <v>0</v>
      </c>
      <c r="L1243" s="26">
        <v>0</v>
      </c>
      <c r="M1243" s="23">
        <v>0</v>
      </c>
      <c r="N1243" s="26">
        <v>0</v>
      </c>
      <c r="O1243" s="26">
        <v>0</v>
      </c>
      <c r="P1243" s="23">
        <v>0</v>
      </c>
      <c r="Q1243" s="23">
        <v>0</v>
      </c>
      <c r="R1243" s="23">
        <v>0</v>
      </c>
      <c r="S1243" s="2">
        <v>0</v>
      </c>
      <c r="T1243" s="2">
        <v>0</v>
      </c>
      <c r="U1243" s="2">
        <v>0</v>
      </c>
    </row>
    <row r="1244" spans="1:21" x14ac:dyDescent="0.3">
      <c r="B1244" s="23">
        <v>0</v>
      </c>
      <c r="C1244" s="23">
        <v>0</v>
      </c>
      <c r="D1244" s="24">
        <v>0</v>
      </c>
      <c r="E1244" s="25">
        <v>0</v>
      </c>
      <c r="F1244" s="25">
        <v>0</v>
      </c>
      <c r="G1244" s="26">
        <v>0</v>
      </c>
      <c r="H1244" s="26">
        <v>0</v>
      </c>
      <c r="I1244" s="25">
        <v>0</v>
      </c>
      <c r="J1244" s="26">
        <v>0</v>
      </c>
      <c r="K1244" s="26">
        <v>0</v>
      </c>
      <c r="L1244" s="26">
        <v>0</v>
      </c>
      <c r="M1244" s="26">
        <v>0</v>
      </c>
      <c r="N1244" s="26">
        <v>0</v>
      </c>
      <c r="O1244" s="26">
        <v>0</v>
      </c>
      <c r="P1244" s="23">
        <v>0</v>
      </c>
      <c r="Q1244" s="23">
        <v>0</v>
      </c>
      <c r="R1244" s="23">
        <v>0</v>
      </c>
      <c r="S1244" s="2">
        <v>0</v>
      </c>
      <c r="T1244" s="2">
        <v>0</v>
      </c>
      <c r="U1244" s="2">
        <v>0</v>
      </c>
    </row>
    <row r="1245" spans="1:21" x14ac:dyDescent="0.3">
      <c r="B1245" s="23">
        <v>0</v>
      </c>
      <c r="C1245" s="23">
        <v>0</v>
      </c>
      <c r="D1245" s="24">
        <v>0</v>
      </c>
      <c r="E1245" s="25">
        <v>0</v>
      </c>
      <c r="F1245" s="25">
        <v>0</v>
      </c>
      <c r="G1245" s="26">
        <v>0</v>
      </c>
      <c r="H1245" s="26">
        <v>0</v>
      </c>
      <c r="I1245" s="25">
        <v>0</v>
      </c>
      <c r="J1245" s="26">
        <v>0</v>
      </c>
      <c r="K1245" s="26">
        <v>0</v>
      </c>
      <c r="L1245" s="26">
        <v>0</v>
      </c>
      <c r="M1245" s="26">
        <v>0</v>
      </c>
      <c r="N1245" s="26">
        <v>0</v>
      </c>
      <c r="O1245" s="26">
        <v>0</v>
      </c>
      <c r="P1245" s="23">
        <v>0</v>
      </c>
      <c r="Q1245" s="23">
        <v>0</v>
      </c>
      <c r="R1245" s="23">
        <v>0</v>
      </c>
      <c r="S1245" s="2">
        <v>0</v>
      </c>
      <c r="T1245" s="2">
        <v>0</v>
      </c>
      <c r="U1245" s="2">
        <v>0</v>
      </c>
    </row>
    <row r="1246" spans="1:21" x14ac:dyDescent="0.3">
      <c r="B1246" s="23"/>
      <c r="C1246" s="23"/>
      <c r="D1246" s="24"/>
      <c r="E1246" s="25"/>
      <c r="F1246" s="25"/>
      <c r="G1246" s="26"/>
      <c r="H1246" s="26"/>
      <c r="I1246" s="25"/>
      <c r="J1246" s="26"/>
      <c r="K1246" s="26"/>
      <c r="L1246" s="26"/>
      <c r="M1246" s="26"/>
      <c r="N1246" s="26"/>
      <c r="O1246" s="26"/>
      <c r="P1246" s="23"/>
      <c r="Q1246" s="23"/>
      <c r="R1246" s="23"/>
      <c r="S1246" s="2"/>
      <c r="T1246" s="2"/>
      <c r="U1246" s="2"/>
    </row>
    <row r="1248" spans="1:21" x14ac:dyDescent="0.3">
      <c r="A1248" s="42" t="s">
        <v>245</v>
      </c>
    </row>
    <row r="1249" spans="1:2" x14ac:dyDescent="0.3">
      <c r="A1249" s="42" t="s">
        <v>239</v>
      </c>
    </row>
    <row r="1251" spans="1:2" x14ac:dyDescent="0.3">
      <c r="A1251" s="42" t="s">
        <v>258</v>
      </c>
      <c r="B1251" s="4"/>
    </row>
    <row r="1252" spans="1:2" x14ac:dyDescent="0.3">
      <c r="A1252" s="42" t="s">
        <v>252</v>
      </c>
      <c r="B1252" s="4"/>
    </row>
    <row r="1253" spans="1:2" x14ac:dyDescent="0.3">
      <c r="A1253" s="42" t="s">
        <v>269</v>
      </c>
      <c r="B1253" s="4"/>
    </row>
    <row r="1255" spans="1:2" x14ac:dyDescent="0.3">
      <c r="A1255" s="42" t="s">
        <v>268</v>
      </c>
    </row>
    <row r="1260" spans="1:2" x14ac:dyDescent="0.3">
      <c r="A1260" s="42" t="s">
        <v>260</v>
      </c>
    </row>
    <row r="1261" spans="1:2" x14ac:dyDescent="0.3">
      <c r="A1261" s="42" t="s">
        <v>261</v>
      </c>
    </row>
    <row r="1262" spans="1:2" x14ac:dyDescent="0.3">
      <c r="A1262" s="42" t="s">
        <v>259</v>
      </c>
      <c r="B1262" s="4"/>
    </row>
    <row r="1264" spans="1:2" x14ac:dyDescent="0.3">
      <c r="A1264" s="42" t="s">
        <v>262</v>
      </c>
    </row>
    <row r="1265" spans="1:21" x14ac:dyDescent="0.3">
      <c r="A1265" s="42" t="s">
        <v>263</v>
      </c>
    </row>
    <row r="1266" spans="1:21" x14ac:dyDescent="0.3">
      <c r="A1266" s="42" t="s">
        <v>264</v>
      </c>
      <c r="B1266" s="4"/>
    </row>
    <row r="1268" spans="1:21" x14ac:dyDescent="0.3">
      <c r="A1268" s="42" t="s">
        <v>265</v>
      </c>
    </row>
    <row r="1269" spans="1:21" x14ac:dyDescent="0.3">
      <c r="A1269" s="42" t="s">
        <v>266</v>
      </c>
    </row>
    <row r="1270" spans="1:21" x14ac:dyDescent="0.3">
      <c r="A1270" s="42" t="s">
        <v>267</v>
      </c>
      <c r="B1270" s="4"/>
    </row>
    <row r="1273" spans="1:21" x14ac:dyDescent="0.3">
      <c r="A1273" s="44" t="s">
        <v>230</v>
      </c>
      <c r="B1273" s="40" t="s">
        <v>272</v>
      </c>
      <c r="C1273" s="41"/>
      <c r="D1273" s="41"/>
      <c r="E1273" s="41"/>
      <c r="F1273" s="41"/>
      <c r="G1273" s="41"/>
      <c r="H1273" s="41"/>
      <c r="I1273" s="41"/>
      <c r="J1273" s="41"/>
      <c r="K1273" s="41"/>
      <c r="L1273" s="41"/>
      <c r="M1273" s="41"/>
      <c r="N1273" s="41"/>
      <c r="O1273" s="41"/>
      <c r="P1273" s="41"/>
      <c r="Q1273" s="41"/>
      <c r="R1273" s="41"/>
      <c r="S1273" s="41"/>
      <c r="T1273" s="41"/>
      <c r="U1273" s="41"/>
    </row>
    <row r="1275" spans="1:21" ht="28.8" x14ac:dyDescent="0.3">
      <c r="B1275" s="19" t="s">
        <v>0</v>
      </c>
      <c r="C1275" s="33" t="s">
        <v>229</v>
      </c>
      <c r="D1275" s="34" t="s">
        <v>231</v>
      </c>
      <c r="E1275" s="35" t="s">
        <v>232</v>
      </c>
      <c r="F1275" s="38" t="s">
        <v>233</v>
      </c>
      <c r="G1275" s="39"/>
      <c r="H1275" s="38" t="s">
        <v>234</v>
      </c>
      <c r="I1275" s="39"/>
      <c r="J1275" s="38" t="s">
        <v>235</v>
      </c>
      <c r="K1275" s="39"/>
      <c r="L1275" s="39"/>
      <c r="M1275" s="39"/>
      <c r="N1275" s="38" t="s">
        <v>236</v>
      </c>
      <c r="O1275" s="39"/>
      <c r="P1275" s="39"/>
      <c r="Q1275" s="39"/>
      <c r="R1275" s="33" t="s">
        <v>1</v>
      </c>
      <c r="S1275" s="15" t="s">
        <v>228</v>
      </c>
      <c r="T1275" s="15" t="s">
        <v>2</v>
      </c>
      <c r="U1275" s="15" t="s">
        <v>3</v>
      </c>
    </row>
    <row r="1276" spans="1:21" x14ac:dyDescent="0.3">
      <c r="B1276" s="23" cm="1">
        <f t="array" ref="B1276:U1278">'2. Master Tire Specs  '!C1447:V1449</f>
        <v>0</v>
      </c>
      <c r="C1276" s="23">
        <v>0</v>
      </c>
      <c r="D1276" s="24">
        <v>0</v>
      </c>
      <c r="E1276" s="25">
        <v>0</v>
      </c>
      <c r="F1276" s="25">
        <v>0</v>
      </c>
      <c r="G1276" s="26">
        <v>0</v>
      </c>
      <c r="H1276" s="26">
        <v>0</v>
      </c>
      <c r="I1276" s="25">
        <v>0</v>
      </c>
      <c r="J1276" s="26">
        <v>0</v>
      </c>
      <c r="K1276" s="26">
        <v>0</v>
      </c>
      <c r="L1276" s="26">
        <v>0</v>
      </c>
      <c r="M1276" s="23">
        <v>0</v>
      </c>
      <c r="N1276" s="26">
        <v>0</v>
      </c>
      <c r="O1276" s="26">
        <v>0</v>
      </c>
      <c r="P1276" s="23">
        <v>0</v>
      </c>
      <c r="Q1276" s="23">
        <v>0</v>
      </c>
      <c r="R1276" s="23">
        <v>0</v>
      </c>
      <c r="S1276" s="2">
        <v>0</v>
      </c>
      <c r="T1276" s="2">
        <v>0</v>
      </c>
      <c r="U1276" s="2">
        <v>0</v>
      </c>
    </row>
    <row r="1277" spans="1:21" x14ac:dyDescent="0.3">
      <c r="B1277" s="23">
        <v>0</v>
      </c>
      <c r="C1277" s="23">
        <v>0</v>
      </c>
      <c r="D1277" s="24">
        <v>0</v>
      </c>
      <c r="E1277" s="25">
        <v>0</v>
      </c>
      <c r="F1277" s="25">
        <v>0</v>
      </c>
      <c r="G1277" s="26">
        <v>0</v>
      </c>
      <c r="H1277" s="26">
        <v>0</v>
      </c>
      <c r="I1277" s="25">
        <v>0</v>
      </c>
      <c r="J1277" s="26">
        <v>0</v>
      </c>
      <c r="K1277" s="26">
        <v>0</v>
      </c>
      <c r="L1277" s="26">
        <v>0</v>
      </c>
      <c r="M1277" s="26">
        <v>0</v>
      </c>
      <c r="N1277" s="26">
        <v>0</v>
      </c>
      <c r="O1277" s="26">
        <v>0</v>
      </c>
      <c r="P1277" s="23">
        <v>0</v>
      </c>
      <c r="Q1277" s="23">
        <v>0</v>
      </c>
      <c r="R1277" s="23">
        <v>0</v>
      </c>
      <c r="S1277" s="2">
        <v>0</v>
      </c>
      <c r="T1277" s="2">
        <v>0</v>
      </c>
      <c r="U1277" s="2">
        <v>0</v>
      </c>
    </row>
    <row r="1278" spans="1:21" x14ac:dyDescent="0.3">
      <c r="B1278" s="23">
        <v>0</v>
      </c>
      <c r="C1278" s="23">
        <v>0</v>
      </c>
      <c r="D1278" s="24">
        <v>0</v>
      </c>
      <c r="E1278" s="25">
        <v>0</v>
      </c>
      <c r="F1278" s="25">
        <v>0</v>
      </c>
      <c r="G1278" s="26">
        <v>0</v>
      </c>
      <c r="H1278" s="26">
        <v>0</v>
      </c>
      <c r="I1278" s="25">
        <v>0</v>
      </c>
      <c r="J1278" s="26">
        <v>0</v>
      </c>
      <c r="K1278" s="26">
        <v>0</v>
      </c>
      <c r="L1278" s="26">
        <v>0</v>
      </c>
      <c r="M1278" s="26">
        <v>0</v>
      </c>
      <c r="N1278" s="26">
        <v>0</v>
      </c>
      <c r="O1278" s="26">
        <v>0</v>
      </c>
      <c r="P1278" s="23">
        <v>0</v>
      </c>
      <c r="Q1278" s="23">
        <v>0</v>
      </c>
      <c r="R1278" s="23">
        <v>0</v>
      </c>
      <c r="S1278" s="2">
        <v>0</v>
      </c>
      <c r="T1278" s="2">
        <v>0</v>
      </c>
      <c r="U1278" s="2">
        <v>0</v>
      </c>
    </row>
    <row r="1279" spans="1:21" x14ac:dyDescent="0.3">
      <c r="B1279" s="23"/>
      <c r="C1279" s="23"/>
      <c r="D1279" s="24"/>
      <c r="E1279" s="25"/>
      <c r="F1279" s="25"/>
      <c r="G1279" s="26"/>
      <c r="H1279" s="26"/>
      <c r="I1279" s="25"/>
      <c r="J1279" s="26"/>
      <c r="K1279" s="26"/>
      <c r="L1279" s="26"/>
      <c r="M1279" s="26"/>
      <c r="N1279" s="26"/>
      <c r="O1279" s="26"/>
      <c r="P1279" s="23"/>
      <c r="Q1279" s="23"/>
      <c r="R1279" s="23"/>
      <c r="S1279" s="2"/>
      <c r="T1279" s="2"/>
      <c r="U1279" s="2"/>
    </row>
    <row r="1281" spans="1:2" x14ac:dyDescent="0.3">
      <c r="A1281" s="42" t="s">
        <v>245</v>
      </c>
    </row>
    <row r="1282" spans="1:2" x14ac:dyDescent="0.3">
      <c r="A1282" s="42" t="s">
        <v>239</v>
      </c>
    </row>
    <row r="1284" spans="1:2" x14ac:dyDescent="0.3">
      <c r="A1284" s="42" t="s">
        <v>258</v>
      </c>
      <c r="B1284" s="4"/>
    </row>
    <row r="1285" spans="1:2" x14ac:dyDescent="0.3">
      <c r="A1285" s="42" t="s">
        <v>252</v>
      </c>
      <c r="B1285" s="4"/>
    </row>
    <row r="1286" spans="1:2" x14ac:dyDescent="0.3">
      <c r="A1286" s="42" t="s">
        <v>269</v>
      </c>
      <c r="B1286" s="4"/>
    </row>
    <row r="1288" spans="1:2" x14ac:dyDescent="0.3">
      <c r="A1288" s="42" t="s">
        <v>268</v>
      </c>
    </row>
    <row r="1293" spans="1:2" x14ac:dyDescent="0.3">
      <c r="A1293" s="42" t="s">
        <v>260</v>
      </c>
    </row>
    <row r="1294" spans="1:2" x14ac:dyDescent="0.3">
      <c r="A1294" s="42" t="s">
        <v>261</v>
      </c>
    </row>
    <row r="1295" spans="1:2" x14ac:dyDescent="0.3">
      <c r="A1295" s="42" t="s">
        <v>259</v>
      </c>
      <c r="B1295" s="4"/>
    </row>
    <row r="1297" spans="1:21" x14ac:dyDescent="0.3">
      <c r="A1297" s="42" t="s">
        <v>262</v>
      </c>
    </row>
    <row r="1298" spans="1:21" x14ac:dyDescent="0.3">
      <c r="A1298" s="42" t="s">
        <v>263</v>
      </c>
    </row>
    <row r="1299" spans="1:21" x14ac:dyDescent="0.3">
      <c r="A1299" s="42" t="s">
        <v>264</v>
      </c>
      <c r="B1299" s="4"/>
    </row>
    <row r="1301" spans="1:21" x14ac:dyDescent="0.3">
      <c r="A1301" s="42" t="s">
        <v>265</v>
      </c>
    </row>
    <row r="1302" spans="1:21" x14ac:dyDescent="0.3">
      <c r="A1302" s="42" t="s">
        <v>266</v>
      </c>
    </row>
    <row r="1303" spans="1:21" x14ac:dyDescent="0.3">
      <c r="A1303" s="42" t="s">
        <v>267</v>
      </c>
      <c r="B1303" s="4"/>
    </row>
    <row r="1305" spans="1:21" x14ac:dyDescent="0.3">
      <c r="A1305" s="44" t="s">
        <v>230</v>
      </c>
      <c r="B1305" s="40" t="s">
        <v>272</v>
      </c>
      <c r="C1305" s="41"/>
      <c r="D1305" s="41"/>
      <c r="E1305" s="41"/>
      <c r="F1305" s="41"/>
      <c r="G1305" s="41"/>
      <c r="H1305" s="41"/>
      <c r="I1305" s="41"/>
      <c r="J1305" s="41"/>
      <c r="K1305" s="41"/>
      <c r="L1305" s="41"/>
      <c r="M1305" s="41"/>
      <c r="N1305" s="41"/>
      <c r="O1305" s="41"/>
      <c r="P1305" s="41"/>
      <c r="Q1305" s="41"/>
      <c r="R1305" s="41"/>
      <c r="S1305" s="41"/>
      <c r="T1305" s="41"/>
      <c r="U1305" s="41"/>
    </row>
    <row r="1307" spans="1:21" ht="28.8" x14ac:dyDescent="0.3">
      <c r="B1307" s="19" t="s">
        <v>0</v>
      </c>
      <c r="C1307" s="33" t="s">
        <v>229</v>
      </c>
      <c r="D1307" s="34" t="s">
        <v>231</v>
      </c>
      <c r="E1307" s="35" t="s">
        <v>232</v>
      </c>
      <c r="F1307" s="38" t="s">
        <v>233</v>
      </c>
      <c r="G1307" s="39"/>
      <c r="H1307" s="38" t="s">
        <v>234</v>
      </c>
      <c r="I1307" s="39"/>
      <c r="J1307" s="38" t="s">
        <v>235</v>
      </c>
      <c r="K1307" s="39"/>
      <c r="L1307" s="39"/>
      <c r="M1307" s="39"/>
      <c r="N1307" s="38" t="s">
        <v>236</v>
      </c>
      <c r="O1307" s="39"/>
      <c r="P1307" s="39"/>
      <c r="Q1307" s="39"/>
      <c r="R1307" s="33" t="s">
        <v>1</v>
      </c>
      <c r="S1307" s="15" t="s">
        <v>228</v>
      </c>
      <c r="T1307" s="15" t="s">
        <v>2</v>
      </c>
      <c r="U1307" s="15" t="s">
        <v>3</v>
      </c>
    </row>
    <row r="1308" spans="1:21" x14ac:dyDescent="0.3">
      <c r="B1308" s="23" cm="1">
        <f t="array" ref="B1308:U1310">'2. Master Tire Specs  '!C1479:V1481</f>
        <v>0</v>
      </c>
      <c r="C1308" s="23">
        <v>0</v>
      </c>
      <c r="D1308" s="24">
        <v>0</v>
      </c>
      <c r="E1308" s="25">
        <v>0</v>
      </c>
      <c r="F1308" s="25">
        <v>0</v>
      </c>
      <c r="G1308" s="26">
        <v>0</v>
      </c>
      <c r="H1308" s="26">
        <v>0</v>
      </c>
      <c r="I1308" s="25">
        <v>0</v>
      </c>
      <c r="J1308" s="26">
        <v>0</v>
      </c>
      <c r="K1308" s="26">
        <v>0</v>
      </c>
      <c r="L1308" s="26">
        <v>0</v>
      </c>
      <c r="M1308" s="23">
        <v>0</v>
      </c>
      <c r="N1308" s="26">
        <v>0</v>
      </c>
      <c r="O1308" s="26">
        <v>0</v>
      </c>
      <c r="P1308" s="23">
        <v>0</v>
      </c>
      <c r="Q1308" s="23">
        <v>0</v>
      </c>
      <c r="R1308" s="23">
        <v>0</v>
      </c>
      <c r="S1308" s="2">
        <v>0</v>
      </c>
      <c r="T1308" s="2">
        <v>0</v>
      </c>
      <c r="U1308" s="2">
        <v>0</v>
      </c>
    </row>
    <row r="1309" spans="1:21" x14ac:dyDescent="0.3">
      <c r="B1309" s="23">
        <v>0</v>
      </c>
      <c r="C1309" s="23">
        <v>0</v>
      </c>
      <c r="D1309" s="24">
        <v>0</v>
      </c>
      <c r="E1309" s="25">
        <v>0</v>
      </c>
      <c r="F1309" s="25">
        <v>0</v>
      </c>
      <c r="G1309" s="26">
        <v>0</v>
      </c>
      <c r="H1309" s="26">
        <v>0</v>
      </c>
      <c r="I1309" s="25">
        <v>0</v>
      </c>
      <c r="J1309" s="26">
        <v>0</v>
      </c>
      <c r="K1309" s="26">
        <v>0</v>
      </c>
      <c r="L1309" s="26">
        <v>0</v>
      </c>
      <c r="M1309" s="26">
        <v>0</v>
      </c>
      <c r="N1309" s="26">
        <v>0</v>
      </c>
      <c r="O1309" s="26">
        <v>0</v>
      </c>
      <c r="P1309" s="23">
        <v>0</v>
      </c>
      <c r="Q1309" s="23">
        <v>0</v>
      </c>
      <c r="R1309" s="23">
        <v>0</v>
      </c>
      <c r="S1309" s="2">
        <v>0</v>
      </c>
      <c r="T1309" s="2">
        <v>0</v>
      </c>
      <c r="U1309" s="2">
        <v>0</v>
      </c>
    </row>
    <row r="1310" spans="1:21" x14ac:dyDescent="0.3">
      <c r="B1310" s="23">
        <v>0</v>
      </c>
      <c r="C1310" s="23">
        <v>0</v>
      </c>
      <c r="D1310" s="24">
        <v>0</v>
      </c>
      <c r="E1310" s="25">
        <v>0</v>
      </c>
      <c r="F1310" s="25">
        <v>0</v>
      </c>
      <c r="G1310" s="26">
        <v>0</v>
      </c>
      <c r="H1310" s="26">
        <v>0</v>
      </c>
      <c r="I1310" s="25">
        <v>0</v>
      </c>
      <c r="J1310" s="26">
        <v>0</v>
      </c>
      <c r="K1310" s="26">
        <v>0</v>
      </c>
      <c r="L1310" s="26">
        <v>0</v>
      </c>
      <c r="M1310" s="26">
        <v>0</v>
      </c>
      <c r="N1310" s="26">
        <v>0</v>
      </c>
      <c r="O1310" s="26">
        <v>0</v>
      </c>
      <c r="P1310" s="23">
        <v>0</v>
      </c>
      <c r="Q1310" s="23">
        <v>0</v>
      </c>
      <c r="R1310" s="23">
        <v>0</v>
      </c>
      <c r="S1310" s="2">
        <v>0</v>
      </c>
      <c r="T1310" s="2">
        <v>0</v>
      </c>
      <c r="U1310" s="2">
        <v>0</v>
      </c>
    </row>
    <row r="1311" spans="1:21" x14ac:dyDescent="0.3">
      <c r="B1311" s="23"/>
      <c r="C1311" s="23"/>
      <c r="D1311" s="24"/>
      <c r="E1311" s="25"/>
      <c r="F1311" s="25"/>
      <c r="G1311" s="26"/>
      <c r="H1311" s="26"/>
      <c r="I1311" s="25"/>
      <c r="J1311" s="26"/>
      <c r="K1311" s="26"/>
      <c r="L1311" s="26"/>
      <c r="M1311" s="26"/>
      <c r="N1311" s="26"/>
      <c r="O1311" s="26"/>
      <c r="P1311" s="23"/>
      <c r="Q1311" s="23"/>
      <c r="R1311" s="23"/>
      <c r="S1311" s="2"/>
      <c r="T1311" s="2"/>
      <c r="U1311" s="2"/>
    </row>
    <row r="1313" spans="1:2" x14ac:dyDescent="0.3">
      <c r="A1313" s="42" t="s">
        <v>245</v>
      </c>
    </row>
    <row r="1314" spans="1:2" x14ac:dyDescent="0.3">
      <c r="A1314" s="42" t="s">
        <v>239</v>
      </c>
    </row>
    <row r="1316" spans="1:2" x14ac:dyDescent="0.3">
      <c r="A1316" s="42" t="s">
        <v>258</v>
      </c>
      <c r="B1316" s="4"/>
    </row>
    <row r="1317" spans="1:2" x14ac:dyDescent="0.3">
      <c r="A1317" s="42" t="s">
        <v>252</v>
      </c>
      <c r="B1317" s="4"/>
    </row>
    <row r="1318" spans="1:2" x14ac:dyDescent="0.3">
      <c r="A1318" s="42" t="s">
        <v>269</v>
      </c>
      <c r="B1318" s="4"/>
    </row>
    <row r="1320" spans="1:2" x14ac:dyDescent="0.3">
      <c r="A1320" s="42" t="s">
        <v>268</v>
      </c>
    </row>
    <row r="1325" spans="1:2" x14ac:dyDescent="0.3">
      <c r="A1325" s="42" t="s">
        <v>260</v>
      </c>
    </row>
    <row r="1326" spans="1:2" x14ac:dyDescent="0.3">
      <c r="A1326" s="42" t="s">
        <v>261</v>
      </c>
    </row>
    <row r="1327" spans="1:2" x14ac:dyDescent="0.3">
      <c r="A1327" s="42" t="s">
        <v>259</v>
      </c>
      <c r="B1327" s="4"/>
    </row>
    <row r="1329" spans="1:21" x14ac:dyDescent="0.3">
      <c r="A1329" s="42" t="s">
        <v>262</v>
      </c>
    </row>
    <row r="1330" spans="1:21" x14ac:dyDescent="0.3">
      <c r="A1330" s="42" t="s">
        <v>263</v>
      </c>
    </row>
    <row r="1331" spans="1:21" x14ac:dyDescent="0.3">
      <c r="A1331" s="42" t="s">
        <v>264</v>
      </c>
      <c r="B1331" s="4"/>
    </row>
    <row r="1333" spans="1:21" x14ac:dyDescent="0.3">
      <c r="A1333" s="42" t="s">
        <v>265</v>
      </c>
    </row>
    <row r="1334" spans="1:21" x14ac:dyDescent="0.3">
      <c r="A1334" s="42" t="s">
        <v>266</v>
      </c>
    </row>
    <row r="1335" spans="1:21" x14ac:dyDescent="0.3">
      <c r="A1335" s="42" t="s">
        <v>267</v>
      </c>
      <c r="B1335" s="4"/>
    </row>
    <row r="1337" spans="1:21" x14ac:dyDescent="0.3">
      <c r="A1337" s="44" t="s">
        <v>230</v>
      </c>
      <c r="B1337" s="40" t="s">
        <v>272</v>
      </c>
      <c r="C1337" s="41"/>
      <c r="D1337" s="41"/>
      <c r="E1337" s="41"/>
      <c r="F1337" s="41"/>
      <c r="G1337" s="41"/>
      <c r="H1337" s="41"/>
      <c r="I1337" s="41"/>
      <c r="J1337" s="41"/>
      <c r="K1337" s="41"/>
      <c r="L1337" s="41"/>
      <c r="M1337" s="41"/>
      <c r="N1337" s="41"/>
      <c r="O1337" s="41"/>
      <c r="P1337" s="41"/>
      <c r="Q1337" s="41"/>
      <c r="R1337" s="41"/>
      <c r="S1337" s="41"/>
      <c r="T1337" s="41"/>
      <c r="U1337" s="41"/>
    </row>
    <row r="1339" spans="1:21" ht="28.8" x14ac:dyDescent="0.3">
      <c r="B1339" s="19" t="s">
        <v>0</v>
      </c>
      <c r="C1339" s="33" t="s">
        <v>229</v>
      </c>
      <c r="D1339" s="34" t="s">
        <v>231</v>
      </c>
      <c r="E1339" s="35" t="s">
        <v>232</v>
      </c>
      <c r="F1339" s="38" t="s">
        <v>233</v>
      </c>
      <c r="G1339" s="39"/>
      <c r="H1339" s="38" t="s">
        <v>234</v>
      </c>
      <c r="I1339" s="39"/>
      <c r="J1339" s="38" t="s">
        <v>235</v>
      </c>
      <c r="K1339" s="39"/>
      <c r="L1339" s="39"/>
      <c r="M1339" s="39"/>
      <c r="N1339" s="38" t="s">
        <v>236</v>
      </c>
      <c r="O1339" s="39"/>
      <c r="P1339" s="39"/>
      <c r="Q1339" s="39"/>
      <c r="R1339" s="33" t="s">
        <v>1</v>
      </c>
      <c r="S1339" s="15" t="s">
        <v>228</v>
      </c>
      <c r="T1339" s="15" t="s">
        <v>2</v>
      </c>
      <c r="U1339" s="15" t="s">
        <v>3</v>
      </c>
    </row>
    <row r="1340" spans="1:21" x14ac:dyDescent="0.3">
      <c r="B1340" s="23" cm="1">
        <f t="array" ref="B1340:U1342">'2. Master Tire Specs  '!C1511:V1513</f>
        <v>0</v>
      </c>
      <c r="C1340" s="23">
        <v>0</v>
      </c>
      <c r="D1340" s="24">
        <v>0</v>
      </c>
      <c r="E1340" s="25">
        <v>0</v>
      </c>
      <c r="F1340" s="25">
        <v>0</v>
      </c>
      <c r="G1340" s="26">
        <v>0</v>
      </c>
      <c r="H1340" s="26">
        <v>0</v>
      </c>
      <c r="I1340" s="25">
        <v>0</v>
      </c>
      <c r="J1340" s="26">
        <v>0</v>
      </c>
      <c r="K1340" s="26">
        <v>0</v>
      </c>
      <c r="L1340" s="26">
        <v>0</v>
      </c>
      <c r="M1340" s="23">
        <v>0</v>
      </c>
      <c r="N1340" s="26">
        <v>0</v>
      </c>
      <c r="O1340" s="26">
        <v>0</v>
      </c>
      <c r="P1340" s="23">
        <v>0</v>
      </c>
      <c r="Q1340" s="23">
        <v>0</v>
      </c>
      <c r="R1340" s="23">
        <v>0</v>
      </c>
      <c r="S1340" s="2">
        <v>0</v>
      </c>
      <c r="T1340" s="2">
        <v>0</v>
      </c>
      <c r="U1340" s="2">
        <v>0</v>
      </c>
    </row>
    <row r="1341" spans="1:21" x14ac:dyDescent="0.3">
      <c r="B1341" s="23">
        <v>0</v>
      </c>
      <c r="C1341" s="23">
        <v>0</v>
      </c>
      <c r="D1341" s="24">
        <v>0</v>
      </c>
      <c r="E1341" s="25">
        <v>0</v>
      </c>
      <c r="F1341" s="25">
        <v>0</v>
      </c>
      <c r="G1341" s="26">
        <v>0</v>
      </c>
      <c r="H1341" s="26">
        <v>0</v>
      </c>
      <c r="I1341" s="25">
        <v>0</v>
      </c>
      <c r="J1341" s="26">
        <v>0</v>
      </c>
      <c r="K1341" s="26">
        <v>0</v>
      </c>
      <c r="L1341" s="26">
        <v>0</v>
      </c>
      <c r="M1341" s="26">
        <v>0</v>
      </c>
      <c r="N1341" s="26">
        <v>0</v>
      </c>
      <c r="O1341" s="26">
        <v>0</v>
      </c>
      <c r="P1341" s="23">
        <v>0</v>
      </c>
      <c r="Q1341" s="23">
        <v>0</v>
      </c>
      <c r="R1341" s="23">
        <v>0</v>
      </c>
      <c r="S1341" s="2">
        <v>0</v>
      </c>
      <c r="T1341" s="2">
        <v>0</v>
      </c>
      <c r="U1341" s="2">
        <v>0</v>
      </c>
    </row>
    <row r="1342" spans="1:21" x14ac:dyDescent="0.3">
      <c r="B1342" s="23">
        <v>0</v>
      </c>
      <c r="C1342" s="23">
        <v>0</v>
      </c>
      <c r="D1342" s="24">
        <v>0</v>
      </c>
      <c r="E1342" s="25">
        <v>0</v>
      </c>
      <c r="F1342" s="25">
        <v>0</v>
      </c>
      <c r="G1342" s="26">
        <v>0</v>
      </c>
      <c r="H1342" s="26">
        <v>0</v>
      </c>
      <c r="I1342" s="25">
        <v>0</v>
      </c>
      <c r="J1342" s="26">
        <v>0</v>
      </c>
      <c r="K1342" s="26">
        <v>0</v>
      </c>
      <c r="L1342" s="26">
        <v>0</v>
      </c>
      <c r="M1342" s="26">
        <v>0</v>
      </c>
      <c r="N1342" s="26">
        <v>0</v>
      </c>
      <c r="O1342" s="26">
        <v>0</v>
      </c>
      <c r="P1342" s="23">
        <v>0</v>
      </c>
      <c r="Q1342" s="23">
        <v>0</v>
      </c>
      <c r="R1342" s="23">
        <v>0</v>
      </c>
      <c r="S1342" s="2">
        <v>0</v>
      </c>
      <c r="T1342" s="2">
        <v>0</v>
      </c>
      <c r="U1342" s="2">
        <v>0</v>
      </c>
    </row>
    <row r="1343" spans="1:21" x14ac:dyDescent="0.3">
      <c r="B1343" s="23"/>
      <c r="C1343" s="23"/>
      <c r="D1343" s="24"/>
      <c r="E1343" s="25"/>
      <c r="F1343" s="25"/>
      <c r="G1343" s="26"/>
      <c r="H1343" s="26"/>
      <c r="I1343" s="25"/>
      <c r="J1343" s="26"/>
      <c r="K1343" s="26"/>
      <c r="L1343" s="26"/>
      <c r="M1343" s="26"/>
      <c r="N1343" s="26"/>
      <c r="O1343" s="26"/>
      <c r="P1343" s="23"/>
      <c r="Q1343" s="23"/>
      <c r="R1343" s="23"/>
      <c r="S1343" s="2"/>
      <c r="T1343" s="2"/>
      <c r="U1343" s="2"/>
    </row>
    <row r="1345" spans="1:2" x14ac:dyDescent="0.3">
      <c r="A1345" s="42" t="s">
        <v>245</v>
      </c>
    </row>
    <row r="1346" spans="1:2" x14ac:dyDescent="0.3">
      <c r="A1346" s="42" t="s">
        <v>239</v>
      </c>
    </row>
    <row r="1348" spans="1:2" x14ac:dyDescent="0.3">
      <c r="A1348" s="42" t="s">
        <v>258</v>
      </c>
      <c r="B1348" s="4"/>
    </row>
    <row r="1349" spans="1:2" x14ac:dyDescent="0.3">
      <c r="A1349" s="42" t="s">
        <v>252</v>
      </c>
      <c r="B1349" s="4"/>
    </row>
    <row r="1350" spans="1:2" x14ac:dyDescent="0.3">
      <c r="A1350" s="42" t="s">
        <v>269</v>
      </c>
      <c r="B1350" s="4"/>
    </row>
    <row r="1352" spans="1:2" x14ac:dyDescent="0.3">
      <c r="A1352" s="42" t="s">
        <v>268</v>
      </c>
    </row>
    <row r="1357" spans="1:2" x14ac:dyDescent="0.3">
      <c r="A1357" s="42" t="s">
        <v>260</v>
      </c>
    </row>
    <row r="1358" spans="1:2" x14ac:dyDescent="0.3">
      <c r="A1358" s="42" t="s">
        <v>261</v>
      </c>
    </row>
    <row r="1359" spans="1:2" x14ac:dyDescent="0.3">
      <c r="A1359" s="42" t="s">
        <v>259</v>
      </c>
      <c r="B1359" s="4"/>
    </row>
    <row r="1361" spans="1:21" x14ac:dyDescent="0.3">
      <c r="A1361" s="42" t="s">
        <v>262</v>
      </c>
    </row>
    <row r="1362" spans="1:21" x14ac:dyDescent="0.3">
      <c r="A1362" s="42" t="s">
        <v>263</v>
      </c>
    </row>
    <row r="1363" spans="1:21" x14ac:dyDescent="0.3">
      <c r="A1363" s="42" t="s">
        <v>264</v>
      </c>
      <c r="B1363" s="4"/>
    </row>
    <row r="1365" spans="1:21" x14ac:dyDescent="0.3">
      <c r="A1365" s="42" t="s">
        <v>265</v>
      </c>
    </row>
    <row r="1366" spans="1:21" x14ac:dyDescent="0.3">
      <c r="A1366" s="42" t="s">
        <v>266</v>
      </c>
    </row>
    <row r="1367" spans="1:21" x14ac:dyDescent="0.3">
      <c r="A1367" s="42" t="s">
        <v>267</v>
      </c>
      <c r="B1367" s="4"/>
    </row>
    <row r="1370" spans="1:21" x14ac:dyDescent="0.3">
      <c r="A1370" s="44" t="s">
        <v>230</v>
      </c>
      <c r="B1370" s="40" t="s">
        <v>272</v>
      </c>
      <c r="C1370" s="41"/>
      <c r="D1370" s="41"/>
      <c r="E1370" s="41"/>
      <c r="F1370" s="41"/>
      <c r="G1370" s="41"/>
      <c r="H1370" s="41"/>
      <c r="I1370" s="41"/>
      <c r="J1370" s="41"/>
      <c r="K1370" s="41"/>
      <c r="L1370" s="41"/>
      <c r="M1370" s="41"/>
      <c r="N1370" s="41"/>
      <c r="O1370" s="41"/>
      <c r="P1370" s="41"/>
      <c r="Q1370" s="41"/>
      <c r="R1370" s="41"/>
      <c r="S1370" s="41"/>
      <c r="T1370" s="41"/>
      <c r="U1370" s="41"/>
    </row>
    <row r="1372" spans="1:21" ht="28.8" x14ac:dyDescent="0.3">
      <c r="B1372" s="19" t="s">
        <v>0</v>
      </c>
      <c r="C1372" s="33" t="s">
        <v>229</v>
      </c>
      <c r="D1372" s="34" t="s">
        <v>231</v>
      </c>
      <c r="E1372" s="35" t="s">
        <v>232</v>
      </c>
      <c r="F1372" s="38" t="s">
        <v>233</v>
      </c>
      <c r="G1372" s="39"/>
      <c r="H1372" s="38" t="s">
        <v>234</v>
      </c>
      <c r="I1372" s="39"/>
      <c r="J1372" s="38" t="s">
        <v>235</v>
      </c>
      <c r="K1372" s="39"/>
      <c r="L1372" s="39"/>
      <c r="M1372" s="39"/>
      <c r="N1372" s="38" t="s">
        <v>236</v>
      </c>
      <c r="O1372" s="39"/>
      <c r="P1372" s="39"/>
      <c r="Q1372" s="39"/>
      <c r="R1372" s="33" t="s">
        <v>1</v>
      </c>
      <c r="S1372" s="15" t="s">
        <v>228</v>
      </c>
      <c r="T1372" s="15" t="s">
        <v>2</v>
      </c>
      <c r="U1372" s="15" t="s">
        <v>3</v>
      </c>
    </row>
    <row r="1373" spans="1:21" x14ac:dyDescent="0.3">
      <c r="B1373" s="23" cm="1">
        <f t="array" ref="B1373:U1375">'2. Master Tire Specs  '!C1544:V1546</f>
        <v>0</v>
      </c>
      <c r="C1373" s="23">
        <v>0</v>
      </c>
      <c r="D1373" s="24">
        <v>0</v>
      </c>
      <c r="E1373" s="25">
        <v>0</v>
      </c>
      <c r="F1373" s="25">
        <v>0</v>
      </c>
      <c r="G1373" s="26">
        <v>0</v>
      </c>
      <c r="H1373" s="26">
        <v>0</v>
      </c>
      <c r="I1373" s="25">
        <v>0</v>
      </c>
      <c r="J1373" s="26">
        <v>0</v>
      </c>
      <c r="K1373" s="26">
        <v>0</v>
      </c>
      <c r="L1373" s="26">
        <v>0</v>
      </c>
      <c r="M1373" s="23">
        <v>0</v>
      </c>
      <c r="N1373" s="26">
        <v>0</v>
      </c>
      <c r="O1373" s="26">
        <v>0</v>
      </c>
      <c r="P1373" s="23">
        <v>0</v>
      </c>
      <c r="Q1373" s="23">
        <v>0</v>
      </c>
      <c r="R1373" s="23">
        <v>0</v>
      </c>
      <c r="S1373" s="2">
        <v>0</v>
      </c>
      <c r="T1373" s="2">
        <v>0</v>
      </c>
      <c r="U1373" s="2">
        <v>0</v>
      </c>
    </row>
    <row r="1374" spans="1:21" x14ac:dyDescent="0.3">
      <c r="B1374" s="23">
        <v>0</v>
      </c>
      <c r="C1374" s="23">
        <v>0</v>
      </c>
      <c r="D1374" s="24">
        <v>0</v>
      </c>
      <c r="E1374" s="25">
        <v>0</v>
      </c>
      <c r="F1374" s="25">
        <v>0</v>
      </c>
      <c r="G1374" s="26">
        <v>0</v>
      </c>
      <c r="H1374" s="26">
        <v>0</v>
      </c>
      <c r="I1374" s="25">
        <v>0</v>
      </c>
      <c r="J1374" s="26">
        <v>0</v>
      </c>
      <c r="K1374" s="26">
        <v>0</v>
      </c>
      <c r="L1374" s="26">
        <v>0</v>
      </c>
      <c r="M1374" s="26">
        <v>0</v>
      </c>
      <c r="N1374" s="26">
        <v>0</v>
      </c>
      <c r="O1374" s="26">
        <v>0</v>
      </c>
      <c r="P1374" s="23">
        <v>0</v>
      </c>
      <c r="Q1374" s="23">
        <v>0</v>
      </c>
      <c r="R1374" s="23">
        <v>0</v>
      </c>
      <c r="S1374" s="2">
        <v>0</v>
      </c>
      <c r="T1374" s="2">
        <v>0</v>
      </c>
      <c r="U1374" s="2">
        <v>0</v>
      </c>
    </row>
    <row r="1375" spans="1:21" x14ac:dyDescent="0.3">
      <c r="B1375" s="23">
        <v>0</v>
      </c>
      <c r="C1375" s="23">
        <v>0</v>
      </c>
      <c r="D1375" s="24">
        <v>0</v>
      </c>
      <c r="E1375" s="25">
        <v>0</v>
      </c>
      <c r="F1375" s="25">
        <v>0</v>
      </c>
      <c r="G1375" s="26">
        <v>0</v>
      </c>
      <c r="H1375" s="26">
        <v>0</v>
      </c>
      <c r="I1375" s="25">
        <v>0</v>
      </c>
      <c r="J1375" s="26">
        <v>0</v>
      </c>
      <c r="K1375" s="26">
        <v>0</v>
      </c>
      <c r="L1375" s="26">
        <v>0</v>
      </c>
      <c r="M1375" s="26">
        <v>0</v>
      </c>
      <c r="N1375" s="26">
        <v>0</v>
      </c>
      <c r="O1375" s="26">
        <v>0</v>
      </c>
      <c r="P1375" s="23">
        <v>0</v>
      </c>
      <c r="Q1375" s="23">
        <v>0</v>
      </c>
      <c r="R1375" s="23">
        <v>0</v>
      </c>
      <c r="S1375" s="2">
        <v>0</v>
      </c>
      <c r="T1375" s="2">
        <v>0</v>
      </c>
      <c r="U1375" s="2">
        <v>0</v>
      </c>
    </row>
    <row r="1376" spans="1:21" x14ac:dyDescent="0.3">
      <c r="B1376" s="23"/>
      <c r="C1376" s="23"/>
      <c r="D1376" s="24"/>
      <c r="E1376" s="25"/>
      <c r="F1376" s="25"/>
      <c r="G1376" s="26"/>
      <c r="H1376" s="26"/>
      <c r="I1376" s="25"/>
      <c r="J1376" s="26"/>
      <c r="K1376" s="26"/>
      <c r="L1376" s="26"/>
      <c r="M1376" s="26"/>
      <c r="N1376" s="26"/>
      <c r="O1376" s="26"/>
      <c r="P1376" s="23"/>
      <c r="Q1376" s="23"/>
      <c r="R1376" s="23"/>
      <c r="S1376" s="2"/>
      <c r="T1376" s="2"/>
      <c r="U1376" s="2"/>
    </row>
    <row r="1378" spans="1:2" x14ac:dyDescent="0.3">
      <c r="A1378" s="42" t="s">
        <v>245</v>
      </c>
    </row>
    <row r="1379" spans="1:2" x14ac:dyDescent="0.3">
      <c r="A1379" s="42" t="s">
        <v>239</v>
      </c>
    </row>
    <row r="1381" spans="1:2" x14ac:dyDescent="0.3">
      <c r="A1381" s="42" t="s">
        <v>258</v>
      </c>
      <c r="B1381" s="4"/>
    </row>
    <row r="1382" spans="1:2" x14ac:dyDescent="0.3">
      <c r="A1382" s="42" t="s">
        <v>252</v>
      </c>
      <c r="B1382" s="4"/>
    </row>
    <row r="1383" spans="1:2" x14ac:dyDescent="0.3">
      <c r="A1383" s="42" t="s">
        <v>269</v>
      </c>
      <c r="B1383" s="4"/>
    </row>
    <row r="1385" spans="1:2" x14ac:dyDescent="0.3">
      <c r="A1385" s="42" t="s">
        <v>268</v>
      </c>
    </row>
    <row r="1390" spans="1:2" x14ac:dyDescent="0.3">
      <c r="A1390" s="42" t="s">
        <v>260</v>
      </c>
    </row>
    <row r="1391" spans="1:2" x14ac:dyDescent="0.3">
      <c r="A1391" s="42" t="s">
        <v>261</v>
      </c>
    </row>
    <row r="1392" spans="1:2" x14ac:dyDescent="0.3">
      <c r="A1392" s="42" t="s">
        <v>259</v>
      </c>
      <c r="B1392" s="4"/>
    </row>
    <row r="1394" spans="1:21" x14ac:dyDescent="0.3">
      <c r="A1394" s="42" t="s">
        <v>262</v>
      </c>
    </row>
    <row r="1395" spans="1:21" x14ac:dyDescent="0.3">
      <c r="A1395" s="42" t="s">
        <v>263</v>
      </c>
    </row>
    <row r="1396" spans="1:21" x14ac:dyDescent="0.3">
      <c r="A1396" s="42" t="s">
        <v>264</v>
      </c>
      <c r="B1396" s="4"/>
    </row>
    <row r="1398" spans="1:21" x14ac:dyDescent="0.3">
      <c r="A1398" s="42" t="s">
        <v>265</v>
      </c>
    </row>
    <row r="1399" spans="1:21" x14ac:dyDescent="0.3">
      <c r="A1399" s="42" t="s">
        <v>266</v>
      </c>
    </row>
    <row r="1400" spans="1:21" x14ac:dyDescent="0.3">
      <c r="A1400" s="42" t="s">
        <v>267</v>
      </c>
      <c r="B1400" s="4"/>
    </row>
    <row r="1402" spans="1:21" x14ac:dyDescent="0.3">
      <c r="A1402" s="44" t="s">
        <v>230</v>
      </c>
      <c r="B1402" s="40" t="s">
        <v>272</v>
      </c>
      <c r="C1402" s="41"/>
      <c r="D1402" s="41"/>
      <c r="E1402" s="41"/>
      <c r="F1402" s="41"/>
      <c r="G1402" s="41"/>
      <c r="H1402" s="41"/>
      <c r="I1402" s="41"/>
      <c r="J1402" s="41"/>
      <c r="K1402" s="41"/>
      <c r="L1402" s="41"/>
      <c r="M1402" s="41"/>
      <c r="N1402" s="41"/>
      <c r="O1402" s="41"/>
      <c r="P1402" s="41"/>
      <c r="Q1402" s="41"/>
      <c r="R1402" s="41"/>
      <c r="S1402" s="41"/>
      <c r="T1402" s="41"/>
      <c r="U1402" s="41"/>
    </row>
    <row r="1404" spans="1:21" ht="28.8" x14ac:dyDescent="0.3">
      <c r="B1404" s="19" t="s">
        <v>0</v>
      </c>
      <c r="C1404" s="33" t="s">
        <v>229</v>
      </c>
      <c r="D1404" s="34" t="s">
        <v>231</v>
      </c>
      <c r="E1404" s="35" t="s">
        <v>232</v>
      </c>
      <c r="F1404" s="38" t="s">
        <v>233</v>
      </c>
      <c r="G1404" s="39"/>
      <c r="H1404" s="38" t="s">
        <v>234</v>
      </c>
      <c r="I1404" s="39"/>
      <c r="J1404" s="38" t="s">
        <v>235</v>
      </c>
      <c r="K1404" s="39"/>
      <c r="L1404" s="39"/>
      <c r="M1404" s="39"/>
      <c r="N1404" s="38" t="s">
        <v>236</v>
      </c>
      <c r="O1404" s="39"/>
      <c r="P1404" s="39"/>
      <c r="Q1404" s="39"/>
      <c r="R1404" s="33" t="s">
        <v>1</v>
      </c>
      <c r="S1404" s="15" t="s">
        <v>228</v>
      </c>
      <c r="T1404" s="15" t="s">
        <v>2</v>
      </c>
      <c r="U1404" s="15" t="s">
        <v>3</v>
      </c>
    </row>
    <row r="1405" spans="1:21" x14ac:dyDescent="0.3">
      <c r="B1405" s="23" cm="1">
        <f t="array" ref="B1405:U1407">'2. Master Tire Specs  '!C1576:V1578</f>
        <v>0</v>
      </c>
      <c r="C1405" s="23">
        <v>0</v>
      </c>
      <c r="D1405" s="24">
        <v>0</v>
      </c>
      <c r="E1405" s="25">
        <v>0</v>
      </c>
      <c r="F1405" s="25">
        <v>0</v>
      </c>
      <c r="G1405" s="26">
        <v>0</v>
      </c>
      <c r="H1405" s="26">
        <v>0</v>
      </c>
      <c r="I1405" s="25">
        <v>0</v>
      </c>
      <c r="J1405" s="26">
        <v>0</v>
      </c>
      <c r="K1405" s="26">
        <v>0</v>
      </c>
      <c r="L1405" s="26">
        <v>0</v>
      </c>
      <c r="M1405" s="23">
        <v>0</v>
      </c>
      <c r="N1405" s="26">
        <v>0</v>
      </c>
      <c r="O1405" s="26">
        <v>0</v>
      </c>
      <c r="P1405" s="23">
        <v>0</v>
      </c>
      <c r="Q1405" s="23">
        <v>0</v>
      </c>
      <c r="R1405" s="23">
        <v>0</v>
      </c>
      <c r="S1405" s="2">
        <v>0</v>
      </c>
      <c r="T1405" s="2">
        <v>0</v>
      </c>
      <c r="U1405" s="2">
        <v>0</v>
      </c>
    </row>
    <row r="1406" spans="1:21" x14ac:dyDescent="0.3">
      <c r="B1406" s="23">
        <v>0</v>
      </c>
      <c r="C1406" s="23">
        <v>0</v>
      </c>
      <c r="D1406" s="24">
        <v>0</v>
      </c>
      <c r="E1406" s="25">
        <v>0</v>
      </c>
      <c r="F1406" s="25">
        <v>0</v>
      </c>
      <c r="G1406" s="26">
        <v>0</v>
      </c>
      <c r="H1406" s="26">
        <v>0</v>
      </c>
      <c r="I1406" s="25">
        <v>0</v>
      </c>
      <c r="J1406" s="26">
        <v>0</v>
      </c>
      <c r="K1406" s="26">
        <v>0</v>
      </c>
      <c r="L1406" s="26">
        <v>0</v>
      </c>
      <c r="M1406" s="26">
        <v>0</v>
      </c>
      <c r="N1406" s="26">
        <v>0</v>
      </c>
      <c r="O1406" s="26">
        <v>0</v>
      </c>
      <c r="P1406" s="23">
        <v>0</v>
      </c>
      <c r="Q1406" s="23">
        <v>0</v>
      </c>
      <c r="R1406" s="23">
        <v>0</v>
      </c>
      <c r="S1406" s="2">
        <v>0</v>
      </c>
      <c r="T1406" s="2">
        <v>0</v>
      </c>
      <c r="U1406" s="2">
        <v>0</v>
      </c>
    </row>
    <row r="1407" spans="1:21" x14ac:dyDescent="0.3">
      <c r="B1407" s="23">
        <v>0</v>
      </c>
      <c r="C1407" s="23">
        <v>0</v>
      </c>
      <c r="D1407" s="24">
        <v>0</v>
      </c>
      <c r="E1407" s="25">
        <v>0</v>
      </c>
      <c r="F1407" s="25">
        <v>0</v>
      </c>
      <c r="G1407" s="26">
        <v>0</v>
      </c>
      <c r="H1407" s="26">
        <v>0</v>
      </c>
      <c r="I1407" s="25">
        <v>0</v>
      </c>
      <c r="J1407" s="26">
        <v>0</v>
      </c>
      <c r="K1407" s="26">
        <v>0</v>
      </c>
      <c r="L1407" s="26">
        <v>0</v>
      </c>
      <c r="M1407" s="26">
        <v>0</v>
      </c>
      <c r="N1407" s="26">
        <v>0</v>
      </c>
      <c r="O1407" s="26">
        <v>0</v>
      </c>
      <c r="P1407" s="23">
        <v>0</v>
      </c>
      <c r="Q1407" s="23">
        <v>0</v>
      </c>
      <c r="R1407" s="23">
        <v>0</v>
      </c>
      <c r="S1407" s="2">
        <v>0</v>
      </c>
      <c r="T1407" s="2">
        <v>0</v>
      </c>
      <c r="U1407" s="2">
        <v>0</v>
      </c>
    </row>
    <row r="1408" spans="1:21" x14ac:dyDescent="0.3">
      <c r="B1408" s="23"/>
      <c r="C1408" s="23"/>
      <c r="D1408" s="24"/>
      <c r="E1408" s="25"/>
      <c r="F1408" s="25"/>
      <c r="G1408" s="26"/>
      <c r="H1408" s="26"/>
      <c r="I1408" s="25"/>
      <c r="J1408" s="26"/>
      <c r="K1408" s="26"/>
      <c r="L1408" s="26"/>
      <c r="M1408" s="26"/>
      <c r="N1408" s="26"/>
      <c r="O1408" s="26"/>
      <c r="P1408" s="23"/>
      <c r="Q1408" s="23"/>
      <c r="R1408" s="23"/>
      <c r="S1408" s="2"/>
      <c r="T1408" s="2"/>
      <c r="U1408" s="2"/>
    </row>
    <row r="1410" spans="1:2" x14ac:dyDescent="0.3">
      <c r="A1410" s="42" t="s">
        <v>245</v>
      </c>
    </row>
    <row r="1411" spans="1:2" x14ac:dyDescent="0.3">
      <c r="A1411" s="42" t="s">
        <v>239</v>
      </c>
    </row>
    <row r="1413" spans="1:2" x14ac:dyDescent="0.3">
      <c r="A1413" s="42" t="s">
        <v>258</v>
      </c>
      <c r="B1413" s="4"/>
    </row>
    <row r="1414" spans="1:2" x14ac:dyDescent="0.3">
      <c r="A1414" s="42" t="s">
        <v>252</v>
      </c>
      <c r="B1414" s="4"/>
    </row>
    <row r="1415" spans="1:2" x14ac:dyDescent="0.3">
      <c r="A1415" s="42" t="s">
        <v>269</v>
      </c>
      <c r="B1415" s="4"/>
    </row>
    <row r="1417" spans="1:2" x14ac:dyDescent="0.3">
      <c r="A1417" s="42" t="s">
        <v>268</v>
      </c>
    </row>
    <row r="1422" spans="1:2" x14ac:dyDescent="0.3">
      <c r="A1422" s="42" t="s">
        <v>260</v>
      </c>
    </row>
    <row r="1423" spans="1:2" x14ac:dyDescent="0.3">
      <c r="A1423" s="42" t="s">
        <v>261</v>
      </c>
    </row>
    <row r="1424" spans="1:2" x14ac:dyDescent="0.3">
      <c r="A1424" s="42" t="s">
        <v>259</v>
      </c>
      <c r="B1424" s="4"/>
    </row>
    <row r="1426" spans="1:21" x14ac:dyDescent="0.3">
      <c r="A1426" s="42" t="s">
        <v>262</v>
      </c>
    </row>
    <row r="1427" spans="1:21" x14ac:dyDescent="0.3">
      <c r="A1427" s="42" t="s">
        <v>263</v>
      </c>
    </row>
    <row r="1428" spans="1:21" x14ac:dyDescent="0.3">
      <c r="A1428" s="42" t="s">
        <v>264</v>
      </c>
      <c r="B1428" s="4"/>
    </row>
    <row r="1430" spans="1:21" x14ac:dyDescent="0.3">
      <c r="A1430" s="42" t="s">
        <v>265</v>
      </c>
    </row>
    <row r="1431" spans="1:21" x14ac:dyDescent="0.3">
      <c r="A1431" s="42" t="s">
        <v>266</v>
      </c>
    </row>
    <row r="1432" spans="1:21" x14ac:dyDescent="0.3">
      <c r="A1432" s="42" t="s">
        <v>267</v>
      </c>
      <c r="B1432" s="4"/>
    </row>
    <row r="1435" spans="1:21" x14ac:dyDescent="0.3">
      <c r="A1435" s="44" t="s">
        <v>230</v>
      </c>
      <c r="B1435" s="40" t="s">
        <v>272</v>
      </c>
      <c r="C1435" s="41"/>
      <c r="D1435" s="41"/>
      <c r="E1435" s="41"/>
      <c r="F1435" s="41"/>
      <c r="G1435" s="41"/>
      <c r="H1435" s="41"/>
      <c r="I1435" s="41"/>
      <c r="J1435" s="41"/>
      <c r="K1435" s="41"/>
      <c r="L1435" s="41"/>
      <c r="M1435" s="41"/>
      <c r="N1435" s="41"/>
      <c r="O1435" s="41"/>
      <c r="P1435" s="41"/>
      <c r="Q1435" s="41"/>
      <c r="R1435" s="41"/>
      <c r="S1435" s="41"/>
      <c r="T1435" s="41"/>
      <c r="U1435" s="41"/>
    </row>
    <row r="1437" spans="1:21" ht="28.8" x14ac:dyDescent="0.3">
      <c r="B1437" s="19" t="s">
        <v>0</v>
      </c>
      <c r="C1437" s="33" t="s">
        <v>229</v>
      </c>
      <c r="D1437" s="34" t="s">
        <v>231</v>
      </c>
      <c r="E1437" s="35" t="s">
        <v>232</v>
      </c>
      <c r="F1437" s="38" t="s">
        <v>233</v>
      </c>
      <c r="G1437" s="39"/>
      <c r="H1437" s="38" t="s">
        <v>234</v>
      </c>
      <c r="I1437" s="39"/>
      <c r="J1437" s="38" t="s">
        <v>235</v>
      </c>
      <c r="K1437" s="39"/>
      <c r="L1437" s="39"/>
      <c r="M1437" s="39"/>
      <c r="N1437" s="38" t="s">
        <v>236</v>
      </c>
      <c r="O1437" s="39"/>
      <c r="P1437" s="39"/>
      <c r="Q1437" s="39"/>
      <c r="R1437" s="33" t="s">
        <v>1</v>
      </c>
      <c r="S1437" s="15" t="s">
        <v>228</v>
      </c>
      <c r="T1437" s="15" t="s">
        <v>2</v>
      </c>
      <c r="U1437" s="15" t="s">
        <v>3</v>
      </c>
    </row>
    <row r="1438" spans="1:21" x14ac:dyDescent="0.3">
      <c r="B1438" s="23" cm="1">
        <f t="array" ref="B1438:U1440">'2. Master Tire Specs  '!C1609:V1611</f>
        <v>0</v>
      </c>
      <c r="C1438" s="23">
        <v>0</v>
      </c>
      <c r="D1438" s="24">
        <v>0</v>
      </c>
      <c r="E1438" s="25">
        <v>0</v>
      </c>
      <c r="F1438" s="25">
        <v>0</v>
      </c>
      <c r="G1438" s="26">
        <v>0</v>
      </c>
      <c r="H1438" s="26">
        <v>0</v>
      </c>
      <c r="I1438" s="25">
        <v>0</v>
      </c>
      <c r="J1438" s="26">
        <v>0</v>
      </c>
      <c r="K1438" s="26">
        <v>0</v>
      </c>
      <c r="L1438" s="26">
        <v>0</v>
      </c>
      <c r="M1438" s="23">
        <v>0</v>
      </c>
      <c r="N1438" s="26">
        <v>0</v>
      </c>
      <c r="O1438" s="26">
        <v>0</v>
      </c>
      <c r="P1438" s="23">
        <v>0</v>
      </c>
      <c r="Q1438" s="23">
        <v>0</v>
      </c>
      <c r="R1438" s="23">
        <v>0</v>
      </c>
      <c r="S1438" s="2">
        <v>0</v>
      </c>
      <c r="T1438" s="2">
        <v>0</v>
      </c>
      <c r="U1438" s="2">
        <v>0</v>
      </c>
    </row>
    <row r="1439" spans="1:21" x14ac:dyDescent="0.3">
      <c r="B1439" s="23">
        <v>0</v>
      </c>
      <c r="C1439" s="23">
        <v>0</v>
      </c>
      <c r="D1439" s="24">
        <v>0</v>
      </c>
      <c r="E1439" s="25">
        <v>0</v>
      </c>
      <c r="F1439" s="25">
        <v>0</v>
      </c>
      <c r="G1439" s="26">
        <v>0</v>
      </c>
      <c r="H1439" s="26">
        <v>0</v>
      </c>
      <c r="I1439" s="25">
        <v>0</v>
      </c>
      <c r="J1439" s="26">
        <v>0</v>
      </c>
      <c r="K1439" s="26">
        <v>0</v>
      </c>
      <c r="L1439" s="26">
        <v>0</v>
      </c>
      <c r="M1439" s="26">
        <v>0</v>
      </c>
      <c r="N1439" s="26">
        <v>0</v>
      </c>
      <c r="O1439" s="26">
        <v>0</v>
      </c>
      <c r="P1439" s="23">
        <v>0</v>
      </c>
      <c r="Q1439" s="23">
        <v>0</v>
      </c>
      <c r="R1439" s="23">
        <v>0</v>
      </c>
      <c r="S1439" s="2">
        <v>0</v>
      </c>
      <c r="T1439" s="2">
        <v>0</v>
      </c>
      <c r="U1439" s="2">
        <v>0</v>
      </c>
    </row>
    <row r="1440" spans="1:21" x14ac:dyDescent="0.3">
      <c r="B1440" s="23">
        <v>0</v>
      </c>
      <c r="C1440" s="23">
        <v>0</v>
      </c>
      <c r="D1440" s="24">
        <v>0</v>
      </c>
      <c r="E1440" s="25">
        <v>0</v>
      </c>
      <c r="F1440" s="25">
        <v>0</v>
      </c>
      <c r="G1440" s="26">
        <v>0</v>
      </c>
      <c r="H1440" s="26">
        <v>0</v>
      </c>
      <c r="I1440" s="25">
        <v>0</v>
      </c>
      <c r="J1440" s="26">
        <v>0</v>
      </c>
      <c r="K1440" s="26">
        <v>0</v>
      </c>
      <c r="L1440" s="26">
        <v>0</v>
      </c>
      <c r="M1440" s="26">
        <v>0</v>
      </c>
      <c r="N1440" s="26">
        <v>0</v>
      </c>
      <c r="O1440" s="26">
        <v>0</v>
      </c>
      <c r="P1440" s="23">
        <v>0</v>
      </c>
      <c r="Q1440" s="23">
        <v>0</v>
      </c>
      <c r="R1440" s="23">
        <v>0</v>
      </c>
      <c r="S1440" s="2">
        <v>0</v>
      </c>
      <c r="T1440" s="2">
        <v>0</v>
      </c>
      <c r="U1440" s="2">
        <v>0</v>
      </c>
    </row>
    <row r="1441" spans="1:21" x14ac:dyDescent="0.3">
      <c r="B1441" s="23"/>
      <c r="C1441" s="23"/>
      <c r="D1441" s="24"/>
      <c r="E1441" s="25"/>
      <c r="F1441" s="25"/>
      <c r="G1441" s="26"/>
      <c r="H1441" s="26"/>
      <c r="I1441" s="25"/>
      <c r="J1441" s="26"/>
      <c r="K1441" s="26"/>
      <c r="L1441" s="26"/>
      <c r="M1441" s="26"/>
      <c r="N1441" s="26"/>
      <c r="O1441" s="26"/>
      <c r="P1441" s="23"/>
      <c r="Q1441" s="23"/>
      <c r="R1441" s="23"/>
      <c r="S1441" s="2"/>
      <c r="T1441" s="2"/>
      <c r="U1441" s="2"/>
    </row>
    <row r="1443" spans="1:21" x14ac:dyDescent="0.3">
      <c r="A1443" s="42" t="s">
        <v>245</v>
      </c>
    </row>
    <row r="1444" spans="1:21" x14ac:dyDescent="0.3">
      <c r="A1444" s="42" t="s">
        <v>239</v>
      </c>
    </row>
    <row r="1446" spans="1:21" x14ac:dyDescent="0.3">
      <c r="A1446" s="42" t="s">
        <v>258</v>
      </c>
      <c r="B1446" s="4"/>
    </row>
    <row r="1447" spans="1:21" x14ac:dyDescent="0.3">
      <c r="A1447" s="42" t="s">
        <v>252</v>
      </c>
      <c r="B1447" s="4"/>
    </row>
    <row r="1448" spans="1:21" x14ac:dyDescent="0.3">
      <c r="A1448" s="42" t="s">
        <v>269</v>
      </c>
      <c r="B1448" s="4"/>
    </row>
    <row r="1450" spans="1:21" x14ac:dyDescent="0.3">
      <c r="A1450" s="42" t="s">
        <v>268</v>
      </c>
    </row>
    <row r="1455" spans="1:21" x14ac:dyDescent="0.3">
      <c r="A1455" s="42" t="s">
        <v>260</v>
      </c>
    </row>
    <row r="1456" spans="1:21" x14ac:dyDescent="0.3">
      <c r="A1456" s="42" t="s">
        <v>261</v>
      </c>
    </row>
    <row r="1457" spans="1:21" x14ac:dyDescent="0.3">
      <c r="A1457" s="42" t="s">
        <v>259</v>
      </c>
      <c r="B1457" s="4"/>
    </row>
    <row r="1459" spans="1:21" x14ac:dyDescent="0.3">
      <c r="A1459" s="42" t="s">
        <v>262</v>
      </c>
    </row>
    <row r="1460" spans="1:21" x14ac:dyDescent="0.3">
      <c r="A1460" s="42" t="s">
        <v>263</v>
      </c>
    </row>
    <row r="1461" spans="1:21" x14ac:dyDescent="0.3">
      <c r="A1461" s="42" t="s">
        <v>264</v>
      </c>
      <c r="B1461" s="4"/>
    </row>
    <row r="1463" spans="1:21" x14ac:dyDescent="0.3">
      <c r="A1463" s="42" t="s">
        <v>265</v>
      </c>
    </row>
    <row r="1464" spans="1:21" x14ac:dyDescent="0.3">
      <c r="A1464" s="42" t="s">
        <v>266</v>
      </c>
    </row>
    <row r="1465" spans="1:21" x14ac:dyDescent="0.3">
      <c r="A1465" s="42" t="s">
        <v>267</v>
      </c>
      <c r="B1465" s="4"/>
    </row>
    <row r="1467" spans="1:21" x14ac:dyDescent="0.3">
      <c r="A1467" s="44" t="s">
        <v>230</v>
      </c>
      <c r="B1467" s="40" t="s">
        <v>272</v>
      </c>
      <c r="C1467" s="41"/>
      <c r="D1467" s="41"/>
      <c r="E1467" s="41"/>
      <c r="F1467" s="41"/>
      <c r="G1467" s="41"/>
      <c r="H1467" s="41"/>
      <c r="I1467" s="41"/>
      <c r="J1467" s="41"/>
      <c r="K1467" s="41"/>
      <c r="L1467" s="41"/>
      <c r="M1467" s="41"/>
      <c r="N1467" s="41"/>
      <c r="O1467" s="41"/>
      <c r="P1467" s="41"/>
      <c r="Q1467" s="41"/>
      <c r="R1467" s="41"/>
      <c r="S1467" s="41"/>
      <c r="T1467" s="41"/>
      <c r="U1467" s="41"/>
    </row>
    <row r="1469" spans="1:21" ht="28.8" x14ac:dyDescent="0.3">
      <c r="B1469" s="19" t="s">
        <v>0</v>
      </c>
      <c r="C1469" s="33" t="s">
        <v>229</v>
      </c>
      <c r="D1469" s="34" t="s">
        <v>231</v>
      </c>
      <c r="E1469" s="35" t="s">
        <v>232</v>
      </c>
      <c r="F1469" s="38" t="s">
        <v>233</v>
      </c>
      <c r="G1469" s="39"/>
      <c r="H1469" s="38" t="s">
        <v>234</v>
      </c>
      <c r="I1469" s="39"/>
      <c r="J1469" s="38" t="s">
        <v>235</v>
      </c>
      <c r="K1469" s="39"/>
      <c r="L1469" s="39"/>
      <c r="M1469" s="39"/>
      <c r="N1469" s="38" t="s">
        <v>236</v>
      </c>
      <c r="O1469" s="39"/>
      <c r="P1469" s="39"/>
      <c r="Q1469" s="39"/>
      <c r="R1469" s="33" t="s">
        <v>1</v>
      </c>
      <c r="S1469" s="15" t="s">
        <v>228</v>
      </c>
      <c r="T1469" s="15" t="s">
        <v>2</v>
      </c>
      <c r="U1469" s="15" t="s">
        <v>3</v>
      </c>
    </row>
    <row r="1470" spans="1:21" x14ac:dyDescent="0.3">
      <c r="B1470" s="23" cm="1">
        <f t="array" ref="B1470:U1472">'2. Master Tire Specs  '!C1641:V1643</f>
        <v>0</v>
      </c>
      <c r="C1470" s="23">
        <v>0</v>
      </c>
      <c r="D1470" s="24">
        <v>0</v>
      </c>
      <c r="E1470" s="25">
        <v>0</v>
      </c>
      <c r="F1470" s="25">
        <v>0</v>
      </c>
      <c r="G1470" s="26">
        <v>0</v>
      </c>
      <c r="H1470" s="26">
        <v>0</v>
      </c>
      <c r="I1470" s="25">
        <v>0</v>
      </c>
      <c r="J1470" s="26">
        <v>0</v>
      </c>
      <c r="K1470" s="26">
        <v>0</v>
      </c>
      <c r="L1470" s="26">
        <v>0</v>
      </c>
      <c r="M1470" s="23">
        <v>0</v>
      </c>
      <c r="N1470" s="26">
        <v>0</v>
      </c>
      <c r="O1470" s="26">
        <v>0</v>
      </c>
      <c r="P1470" s="23">
        <v>0</v>
      </c>
      <c r="Q1470" s="23">
        <v>0</v>
      </c>
      <c r="R1470" s="23">
        <v>0</v>
      </c>
      <c r="S1470" s="2">
        <v>0</v>
      </c>
      <c r="T1470" s="2">
        <v>0</v>
      </c>
      <c r="U1470" s="2">
        <v>0</v>
      </c>
    </row>
    <row r="1471" spans="1:21" x14ac:dyDescent="0.3">
      <c r="B1471" s="23">
        <v>0</v>
      </c>
      <c r="C1471" s="23">
        <v>0</v>
      </c>
      <c r="D1471" s="24">
        <v>0</v>
      </c>
      <c r="E1471" s="25">
        <v>0</v>
      </c>
      <c r="F1471" s="25">
        <v>0</v>
      </c>
      <c r="G1471" s="26">
        <v>0</v>
      </c>
      <c r="H1471" s="26">
        <v>0</v>
      </c>
      <c r="I1471" s="25">
        <v>0</v>
      </c>
      <c r="J1471" s="26">
        <v>0</v>
      </c>
      <c r="K1471" s="26">
        <v>0</v>
      </c>
      <c r="L1471" s="26">
        <v>0</v>
      </c>
      <c r="M1471" s="26">
        <v>0</v>
      </c>
      <c r="N1471" s="26">
        <v>0</v>
      </c>
      <c r="O1471" s="26">
        <v>0</v>
      </c>
      <c r="P1471" s="23">
        <v>0</v>
      </c>
      <c r="Q1471" s="23">
        <v>0</v>
      </c>
      <c r="R1471" s="23">
        <v>0</v>
      </c>
      <c r="S1471" s="2">
        <v>0</v>
      </c>
      <c r="T1471" s="2">
        <v>0</v>
      </c>
      <c r="U1471" s="2">
        <v>0</v>
      </c>
    </row>
    <row r="1472" spans="1:21" x14ac:dyDescent="0.3">
      <c r="B1472" s="23">
        <v>0</v>
      </c>
      <c r="C1472" s="23">
        <v>0</v>
      </c>
      <c r="D1472" s="24">
        <v>0</v>
      </c>
      <c r="E1472" s="25">
        <v>0</v>
      </c>
      <c r="F1472" s="25">
        <v>0</v>
      </c>
      <c r="G1472" s="26">
        <v>0</v>
      </c>
      <c r="H1472" s="26">
        <v>0</v>
      </c>
      <c r="I1472" s="25">
        <v>0</v>
      </c>
      <c r="J1472" s="26">
        <v>0</v>
      </c>
      <c r="K1472" s="26">
        <v>0</v>
      </c>
      <c r="L1472" s="26">
        <v>0</v>
      </c>
      <c r="M1472" s="26">
        <v>0</v>
      </c>
      <c r="N1472" s="26">
        <v>0</v>
      </c>
      <c r="O1472" s="26">
        <v>0</v>
      </c>
      <c r="P1472" s="23">
        <v>0</v>
      </c>
      <c r="Q1472" s="23">
        <v>0</v>
      </c>
      <c r="R1472" s="23">
        <v>0</v>
      </c>
      <c r="S1472" s="2">
        <v>0</v>
      </c>
      <c r="T1472" s="2">
        <v>0</v>
      </c>
      <c r="U1472" s="2">
        <v>0</v>
      </c>
    </row>
    <row r="1473" spans="1:21" x14ac:dyDescent="0.3">
      <c r="B1473" s="23"/>
      <c r="C1473" s="23"/>
      <c r="D1473" s="24"/>
      <c r="E1473" s="25"/>
      <c r="F1473" s="25"/>
      <c r="G1473" s="26"/>
      <c r="H1473" s="26"/>
      <c r="I1473" s="25"/>
      <c r="J1473" s="26"/>
      <c r="K1473" s="26"/>
      <c r="L1473" s="26"/>
      <c r="M1473" s="26"/>
      <c r="N1473" s="26"/>
      <c r="O1473" s="26"/>
      <c r="P1473" s="23"/>
      <c r="Q1473" s="23"/>
      <c r="R1473" s="23"/>
      <c r="S1473" s="2"/>
      <c r="T1473" s="2"/>
      <c r="U1473" s="2"/>
    </row>
    <row r="1475" spans="1:21" x14ac:dyDescent="0.3">
      <c r="A1475" s="42" t="s">
        <v>245</v>
      </c>
    </row>
    <row r="1476" spans="1:21" x14ac:dyDescent="0.3">
      <c r="A1476" s="42" t="s">
        <v>239</v>
      </c>
    </row>
    <row r="1478" spans="1:21" x14ac:dyDescent="0.3">
      <c r="A1478" s="42" t="s">
        <v>258</v>
      </c>
      <c r="B1478" s="4"/>
    </row>
    <row r="1479" spans="1:21" x14ac:dyDescent="0.3">
      <c r="A1479" s="42" t="s">
        <v>252</v>
      </c>
      <c r="B1479" s="4"/>
    </row>
    <row r="1480" spans="1:21" x14ac:dyDescent="0.3">
      <c r="A1480" s="42" t="s">
        <v>269</v>
      </c>
      <c r="B1480" s="4"/>
    </row>
    <row r="1482" spans="1:21" x14ac:dyDescent="0.3">
      <c r="A1482" s="42" t="s">
        <v>268</v>
      </c>
    </row>
    <row r="1487" spans="1:21" x14ac:dyDescent="0.3">
      <c r="A1487" s="42" t="s">
        <v>260</v>
      </c>
    </row>
    <row r="1488" spans="1:21" x14ac:dyDescent="0.3">
      <c r="A1488" s="42" t="s">
        <v>261</v>
      </c>
    </row>
    <row r="1489" spans="1:21" x14ac:dyDescent="0.3">
      <c r="A1489" s="42" t="s">
        <v>259</v>
      </c>
      <c r="B1489" s="4"/>
    </row>
    <row r="1491" spans="1:21" x14ac:dyDescent="0.3">
      <c r="A1491" s="42" t="s">
        <v>262</v>
      </c>
    </row>
    <row r="1492" spans="1:21" x14ac:dyDescent="0.3">
      <c r="A1492" s="42" t="s">
        <v>263</v>
      </c>
    </row>
    <row r="1493" spans="1:21" x14ac:dyDescent="0.3">
      <c r="A1493" s="42" t="s">
        <v>264</v>
      </c>
      <c r="B1493" s="4"/>
    </row>
    <row r="1495" spans="1:21" x14ac:dyDescent="0.3">
      <c r="A1495" s="42" t="s">
        <v>265</v>
      </c>
    </row>
    <row r="1496" spans="1:21" x14ac:dyDescent="0.3">
      <c r="A1496" s="42" t="s">
        <v>266</v>
      </c>
    </row>
    <row r="1497" spans="1:21" x14ac:dyDescent="0.3">
      <c r="A1497" s="42" t="s">
        <v>267</v>
      </c>
      <c r="B1497" s="4"/>
    </row>
    <row r="1499" spans="1:21" x14ac:dyDescent="0.3">
      <c r="A1499" s="44" t="s">
        <v>230</v>
      </c>
      <c r="B1499" s="40" t="s">
        <v>272</v>
      </c>
      <c r="C1499" s="41"/>
      <c r="D1499" s="41"/>
      <c r="E1499" s="41"/>
      <c r="F1499" s="41"/>
      <c r="G1499" s="41"/>
      <c r="H1499" s="41"/>
      <c r="I1499" s="41"/>
      <c r="J1499" s="41"/>
      <c r="K1499" s="41"/>
      <c r="L1499" s="41"/>
      <c r="M1499" s="41"/>
      <c r="N1499" s="41"/>
      <c r="O1499" s="41"/>
      <c r="P1499" s="41"/>
      <c r="Q1499" s="41"/>
      <c r="R1499" s="41"/>
      <c r="S1499" s="41"/>
      <c r="T1499" s="41"/>
      <c r="U1499" s="41"/>
    </row>
    <row r="1501" spans="1:21" ht="28.8" x14ac:dyDescent="0.3">
      <c r="B1501" s="19" t="s">
        <v>0</v>
      </c>
      <c r="C1501" s="33" t="s">
        <v>229</v>
      </c>
      <c r="D1501" s="34" t="s">
        <v>231</v>
      </c>
      <c r="E1501" s="35" t="s">
        <v>232</v>
      </c>
      <c r="F1501" s="38" t="s">
        <v>233</v>
      </c>
      <c r="G1501" s="39"/>
      <c r="H1501" s="38" t="s">
        <v>234</v>
      </c>
      <c r="I1501" s="39"/>
      <c r="J1501" s="38" t="s">
        <v>235</v>
      </c>
      <c r="K1501" s="39"/>
      <c r="L1501" s="39"/>
      <c r="M1501" s="39"/>
      <c r="N1501" s="38" t="s">
        <v>236</v>
      </c>
      <c r="O1501" s="39"/>
      <c r="P1501" s="39"/>
      <c r="Q1501" s="39"/>
      <c r="R1501" s="33" t="s">
        <v>1</v>
      </c>
      <c r="S1501" s="15" t="s">
        <v>228</v>
      </c>
      <c r="T1501" s="15" t="s">
        <v>2</v>
      </c>
      <c r="U1501" s="15" t="s">
        <v>3</v>
      </c>
    </row>
    <row r="1502" spans="1:21" x14ac:dyDescent="0.3">
      <c r="B1502" s="23" cm="1">
        <f t="array" ref="B1502:U1504">'2. Master Tire Specs  '!C1673:V1675</f>
        <v>0</v>
      </c>
      <c r="C1502" s="23">
        <v>0</v>
      </c>
      <c r="D1502" s="24">
        <v>0</v>
      </c>
      <c r="E1502" s="25">
        <v>0</v>
      </c>
      <c r="F1502" s="25">
        <v>0</v>
      </c>
      <c r="G1502" s="26">
        <v>0</v>
      </c>
      <c r="H1502" s="26">
        <v>0</v>
      </c>
      <c r="I1502" s="25">
        <v>0</v>
      </c>
      <c r="J1502" s="26">
        <v>0</v>
      </c>
      <c r="K1502" s="26">
        <v>0</v>
      </c>
      <c r="L1502" s="26">
        <v>0</v>
      </c>
      <c r="M1502" s="23">
        <v>0</v>
      </c>
      <c r="N1502" s="26">
        <v>0</v>
      </c>
      <c r="O1502" s="26">
        <v>0</v>
      </c>
      <c r="P1502" s="23">
        <v>0</v>
      </c>
      <c r="Q1502" s="23">
        <v>0</v>
      </c>
      <c r="R1502" s="23">
        <v>0</v>
      </c>
      <c r="S1502" s="2">
        <v>0</v>
      </c>
      <c r="T1502" s="2">
        <v>0</v>
      </c>
      <c r="U1502" s="2">
        <v>0</v>
      </c>
    </row>
    <row r="1503" spans="1:21" x14ac:dyDescent="0.3">
      <c r="B1503" s="23">
        <v>0</v>
      </c>
      <c r="C1503" s="23">
        <v>0</v>
      </c>
      <c r="D1503" s="24">
        <v>0</v>
      </c>
      <c r="E1503" s="25">
        <v>0</v>
      </c>
      <c r="F1503" s="25">
        <v>0</v>
      </c>
      <c r="G1503" s="26">
        <v>0</v>
      </c>
      <c r="H1503" s="26">
        <v>0</v>
      </c>
      <c r="I1503" s="25">
        <v>0</v>
      </c>
      <c r="J1503" s="26">
        <v>0</v>
      </c>
      <c r="K1503" s="26">
        <v>0</v>
      </c>
      <c r="L1503" s="26">
        <v>0</v>
      </c>
      <c r="M1503" s="26">
        <v>0</v>
      </c>
      <c r="N1503" s="26">
        <v>0</v>
      </c>
      <c r="O1503" s="26">
        <v>0</v>
      </c>
      <c r="P1503" s="23">
        <v>0</v>
      </c>
      <c r="Q1503" s="23">
        <v>0</v>
      </c>
      <c r="R1503" s="23">
        <v>0</v>
      </c>
      <c r="S1503" s="2">
        <v>0</v>
      </c>
      <c r="T1503" s="2">
        <v>0</v>
      </c>
      <c r="U1503" s="2">
        <v>0</v>
      </c>
    </row>
    <row r="1504" spans="1:21" x14ac:dyDescent="0.3">
      <c r="B1504" s="23">
        <v>0</v>
      </c>
      <c r="C1504" s="23">
        <v>0</v>
      </c>
      <c r="D1504" s="24">
        <v>0</v>
      </c>
      <c r="E1504" s="25">
        <v>0</v>
      </c>
      <c r="F1504" s="25">
        <v>0</v>
      </c>
      <c r="G1504" s="26">
        <v>0</v>
      </c>
      <c r="H1504" s="26">
        <v>0</v>
      </c>
      <c r="I1504" s="25">
        <v>0</v>
      </c>
      <c r="J1504" s="26">
        <v>0</v>
      </c>
      <c r="K1504" s="26">
        <v>0</v>
      </c>
      <c r="L1504" s="26">
        <v>0</v>
      </c>
      <c r="M1504" s="26">
        <v>0</v>
      </c>
      <c r="N1504" s="26">
        <v>0</v>
      </c>
      <c r="O1504" s="26">
        <v>0</v>
      </c>
      <c r="P1504" s="23">
        <v>0</v>
      </c>
      <c r="Q1504" s="23">
        <v>0</v>
      </c>
      <c r="R1504" s="23">
        <v>0</v>
      </c>
      <c r="S1504" s="2">
        <v>0</v>
      </c>
      <c r="T1504" s="2">
        <v>0</v>
      </c>
      <c r="U1504" s="2">
        <v>0</v>
      </c>
    </row>
    <row r="1505" spans="1:21" x14ac:dyDescent="0.3">
      <c r="B1505" s="23"/>
      <c r="C1505" s="23"/>
      <c r="D1505" s="24"/>
      <c r="E1505" s="25"/>
      <c r="F1505" s="25"/>
      <c r="G1505" s="26"/>
      <c r="H1505" s="26"/>
      <c r="I1505" s="25"/>
      <c r="J1505" s="26"/>
      <c r="K1505" s="26"/>
      <c r="L1505" s="26"/>
      <c r="M1505" s="26"/>
      <c r="N1505" s="26"/>
      <c r="O1505" s="26"/>
      <c r="P1505" s="23"/>
      <c r="Q1505" s="23"/>
      <c r="R1505" s="23"/>
      <c r="S1505" s="2"/>
      <c r="T1505" s="2"/>
      <c r="U1505" s="2"/>
    </row>
    <row r="1507" spans="1:21" x14ac:dyDescent="0.3">
      <c r="A1507" s="42" t="s">
        <v>245</v>
      </c>
    </row>
    <row r="1508" spans="1:21" x14ac:dyDescent="0.3">
      <c r="A1508" s="42" t="s">
        <v>239</v>
      </c>
    </row>
    <row r="1510" spans="1:21" x14ac:dyDescent="0.3">
      <c r="A1510" s="42" t="s">
        <v>258</v>
      </c>
      <c r="B1510" s="4"/>
    </row>
    <row r="1511" spans="1:21" x14ac:dyDescent="0.3">
      <c r="A1511" s="42" t="s">
        <v>252</v>
      </c>
      <c r="B1511" s="4"/>
    </row>
    <row r="1512" spans="1:21" x14ac:dyDescent="0.3">
      <c r="A1512" s="42" t="s">
        <v>269</v>
      </c>
      <c r="B1512" s="4"/>
    </row>
    <row r="1514" spans="1:21" x14ac:dyDescent="0.3">
      <c r="A1514" s="42" t="s">
        <v>268</v>
      </c>
    </row>
    <row r="1519" spans="1:21" x14ac:dyDescent="0.3">
      <c r="A1519" s="42" t="s">
        <v>260</v>
      </c>
    </row>
    <row r="1520" spans="1:21" x14ac:dyDescent="0.3">
      <c r="A1520" s="42" t="s">
        <v>261</v>
      </c>
    </row>
    <row r="1521" spans="1:21" x14ac:dyDescent="0.3">
      <c r="A1521" s="42" t="s">
        <v>259</v>
      </c>
      <c r="B1521" s="4"/>
    </row>
    <row r="1523" spans="1:21" x14ac:dyDescent="0.3">
      <c r="A1523" s="42" t="s">
        <v>262</v>
      </c>
    </row>
    <row r="1524" spans="1:21" x14ac:dyDescent="0.3">
      <c r="A1524" s="42" t="s">
        <v>263</v>
      </c>
    </row>
    <row r="1525" spans="1:21" x14ac:dyDescent="0.3">
      <c r="A1525" s="42" t="s">
        <v>264</v>
      </c>
      <c r="B1525" s="4"/>
    </row>
    <row r="1527" spans="1:21" x14ac:dyDescent="0.3">
      <c r="A1527" s="42" t="s">
        <v>265</v>
      </c>
    </row>
    <row r="1528" spans="1:21" x14ac:dyDescent="0.3">
      <c r="A1528" s="42" t="s">
        <v>266</v>
      </c>
    </row>
    <row r="1529" spans="1:21" x14ac:dyDescent="0.3">
      <c r="A1529" s="42" t="s">
        <v>267</v>
      </c>
      <c r="B1529" s="4"/>
    </row>
    <row r="1532" spans="1:21" x14ac:dyDescent="0.3">
      <c r="A1532" s="44" t="s">
        <v>230</v>
      </c>
      <c r="B1532" s="40" t="s">
        <v>272</v>
      </c>
      <c r="C1532" s="41"/>
      <c r="D1532" s="41"/>
      <c r="E1532" s="41"/>
      <c r="F1532" s="41"/>
      <c r="G1532" s="41"/>
      <c r="H1532" s="41"/>
      <c r="I1532" s="41"/>
      <c r="J1532" s="41"/>
      <c r="K1532" s="41"/>
      <c r="L1532" s="41"/>
      <c r="M1532" s="41"/>
      <c r="N1532" s="41"/>
      <c r="O1532" s="41"/>
      <c r="P1532" s="41"/>
      <c r="Q1532" s="41"/>
      <c r="R1532" s="41"/>
      <c r="S1532" s="41"/>
      <c r="T1532" s="41"/>
      <c r="U1532" s="41"/>
    </row>
    <row r="1534" spans="1:21" ht="28.8" x14ac:dyDescent="0.3">
      <c r="B1534" s="19" t="s">
        <v>0</v>
      </c>
      <c r="C1534" s="33" t="s">
        <v>229</v>
      </c>
      <c r="D1534" s="34" t="s">
        <v>231</v>
      </c>
      <c r="E1534" s="35" t="s">
        <v>232</v>
      </c>
      <c r="F1534" s="38" t="s">
        <v>233</v>
      </c>
      <c r="G1534" s="39"/>
      <c r="H1534" s="38" t="s">
        <v>234</v>
      </c>
      <c r="I1534" s="39"/>
      <c r="J1534" s="38" t="s">
        <v>235</v>
      </c>
      <c r="K1534" s="39"/>
      <c r="L1534" s="39"/>
      <c r="M1534" s="39"/>
      <c r="N1534" s="38" t="s">
        <v>236</v>
      </c>
      <c r="O1534" s="39"/>
      <c r="P1534" s="39"/>
      <c r="Q1534" s="39"/>
      <c r="R1534" s="33" t="s">
        <v>1</v>
      </c>
      <c r="S1534" s="15" t="s">
        <v>228</v>
      </c>
      <c r="T1534" s="15" t="s">
        <v>2</v>
      </c>
      <c r="U1534" s="15" t="s">
        <v>3</v>
      </c>
    </row>
    <row r="1535" spans="1:21" x14ac:dyDescent="0.3">
      <c r="B1535" s="23" cm="1">
        <f t="array" ref="B1535:U1537">'2. Master Tire Specs  '!C1706:V1708</f>
        <v>0</v>
      </c>
      <c r="C1535" s="23">
        <v>0</v>
      </c>
      <c r="D1535" s="24">
        <v>0</v>
      </c>
      <c r="E1535" s="25">
        <v>0</v>
      </c>
      <c r="F1535" s="25">
        <v>0</v>
      </c>
      <c r="G1535" s="26">
        <v>0</v>
      </c>
      <c r="H1535" s="26">
        <v>0</v>
      </c>
      <c r="I1535" s="25">
        <v>0</v>
      </c>
      <c r="J1535" s="26">
        <v>0</v>
      </c>
      <c r="K1535" s="26">
        <v>0</v>
      </c>
      <c r="L1535" s="26">
        <v>0</v>
      </c>
      <c r="M1535" s="23">
        <v>0</v>
      </c>
      <c r="N1535" s="26">
        <v>0</v>
      </c>
      <c r="O1535" s="26">
        <v>0</v>
      </c>
      <c r="P1535" s="23">
        <v>0</v>
      </c>
      <c r="Q1535" s="23">
        <v>0</v>
      </c>
      <c r="R1535" s="23">
        <v>0</v>
      </c>
      <c r="S1535" s="2">
        <v>0</v>
      </c>
      <c r="T1535" s="2">
        <v>0</v>
      </c>
      <c r="U1535" s="2">
        <v>0</v>
      </c>
    </row>
    <row r="1536" spans="1:21" x14ac:dyDescent="0.3">
      <c r="B1536" s="23">
        <v>0</v>
      </c>
      <c r="C1536" s="23">
        <v>0</v>
      </c>
      <c r="D1536" s="24">
        <v>0</v>
      </c>
      <c r="E1536" s="25">
        <v>0</v>
      </c>
      <c r="F1536" s="25">
        <v>0</v>
      </c>
      <c r="G1536" s="26">
        <v>0</v>
      </c>
      <c r="H1536" s="26">
        <v>0</v>
      </c>
      <c r="I1536" s="25">
        <v>0</v>
      </c>
      <c r="J1536" s="26">
        <v>0</v>
      </c>
      <c r="K1536" s="26">
        <v>0</v>
      </c>
      <c r="L1536" s="26">
        <v>0</v>
      </c>
      <c r="M1536" s="26">
        <v>0</v>
      </c>
      <c r="N1536" s="26">
        <v>0</v>
      </c>
      <c r="O1536" s="26">
        <v>0</v>
      </c>
      <c r="P1536" s="23">
        <v>0</v>
      </c>
      <c r="Q1536" s="23">
        <v>0</v>
      </c>
      <c r="R1536" s="23">
        <v>0</v>
      </c>
      <c r="S1536" s="2">
        <v>0</v>
      </c>
      <c r="T1536" s="2">
        <v>0</v>
      </c>
      <c r="U1536" s="2">
        <v>0</v>
      </c>
    </row>
    <row r="1537" spans="1:21" x14ac:dyDescent="0.3">
      <c r="B1537" s="23">
        <v>0</v>
      </c>
      <c r="C1537" s="23">
        <v>0</v>
      </c>
      <c r="D1537" s="24">
        <v>0</v>
      </c>
      <c r="E1537" s="25">
        <v>0</v>
      </c>
      <c r="F1537" s="25">
        <v>0</v>
      </c>
      <c r="G1537" s="26">
        <v>0</v>
      </c>
      <c r="H1537" s="26">
        <v>0</v>
      </c>
      <c r="I1537" s="25">
        <v>0</v>
      </c>
      <c r="J1537" s="26">
        <v>0</v>
      </c>
      <c r="K1537" s="26">
        <v>0</v>
      </c>
      <c r="L1537" s="26">
        <v>0</v>
      </c>
      <c r="M1537" s="26">
        <v>0</v>
      </c>
      <c r="N1537" s="26">
        <v>0</v>
      </c>
      <c r="O1537" s="26">
        <v>0</v>
      </c>
      <c r="P1537" s="23">
        <v>0</v>
      </c>
      <c r="Q1537" s="23">
        <v>0</v>
      </c>
      <c r="R1537" s="23">
        <v>0</v>
      </c>
      <c r="S1537" s="2">
        <v>0</v>
      </c>
      <c r="T1537" s="2">
        <v>0</v>
      </c>
      <c r="U1537" s="2">
        <v>0</v>
      </c>
    </row>
    <row r="1538" spans="1:21" x14ac:dyDescent="0.3">
      <c r="B1538" s="23"/>
      <c r="C1538" s="23"/>
      <c r="D1538" s="24"/>
      <c r="E1538" s="25"/>
      <c r="F1538" s="25"/>
      <c r="G1538" s="26"/>
      <c r="H1538" s="26"/>
      <c r="I1538" s="25"/>
      <c r="J1538" s="26"/>
      <c r="K1538" s="26"/>
      <c r="L1538" s="26"/>
      <c r="M1538" s="26"/>
      <c r="N1538" s="26"/>
      <c r="O1538" s="26"/>
      <c r="P1538" s="23"/>
      <c r="Q1538" s="23"/>
      <c r="R1538" s="23"/>
      <c r="S1538" s="2"/>
      <c r="T1538" s="2"/>
      <c r="U1538" s="2"/>
    </row>
    <row r="1540" spans="1:21" x14ac:dyDescent="0.3">
      <c r="A1540" s="42" t="s">
        <v>245</v>
      </c>
    </row>
    <row r="1541" spans="1:21" x14ac:dyDescent="0.3">
      <c r="A1541" s="42" t="s">
        <v>239</v>
      </c>
    </row>
    <row r="1543" spans="1:21" x14ac:dyDescent="0.3">
      <c r="A1543" s="42" t="s">
        <v>258</v>
      </c>
      <c r="B1543" s="4"/>
    </row>
    <row r="1544" spans="1:21" x14ac:dyDescent="0.3">
      <c r="A1544" s="42" t="s">
        <v>252</v>
      </c>
      <c r="B1544" s="4"/>
    </row>
    <row r="1545" spans="1:21" x14ac:dyDescent="0.3">
      <c r="A1545" s="42" t="s">
        <v>269</v>
      </c>
      <c r="B1545" s="4"/>
    </row>
    <row r="1547" spans="1:21" x14ac:dyDescent="0.3">
      <c r="A1547" s="42" t="s">
        <v>268</v>
      </c>
    </row>
    <row r="1552" spans="1:21" x14ac:dyDescent="0.3">
      <c r="A1552" s="42" t="s">
        <v>260</v>
      </c>
    </row>
    <row r="1553" spans="1:21" x14ac:dyDescent="0.3">
      <c r="A1553" s="42" t="s">
        <v>261</v>
      </c>
    </row>
    <row r="1554" spans="1:21" x14ac:dyDescent="0.3">
      <c r="A1554" s="42" t="s">
        <v>259</v>
      </c>
      <c r="B1554" s="4"/>
    </row>
    <row r="1556" spans="1:21" x14ac:dyDescent="0.3">
      <c r="A1556" s="42" t="s">
        <v>262</v>
      </c>
    </row>
    <row r="1557" spans="1:21" x14ac:dyDescent="0.3">
      <c r="A1557" s="42" t="s">
        <v>263</v>
      </c>
    </row>
    <row r="1558" spans="1:21" x14ac:dyDescent="0.3">
      <c r="A1558" s="42" t="s">
        <v>264</v>
      </c>
      <c r="B1558" s="4"/>
    </row>
    <row r="1560" spans="1:21" x14ac:dyDescent="0.3">
      <c r="A1560" s="42" t="s">
        <v>265</v>
      </c>
    </row>
    <row r="1561" spans="1:21" x14ac:dyDescent="0.3">
      <c r="A1561" s="42" t="s">
        <v>266</v>
      </c>
    </row>
    <row r="1562" spans="1:21" x14ac:dyDescent="0.3">
      <c r="A1562" s="42" t="s">
        <v>267</v>
      </c>
      <c r="B1562" s="4"/>
    </row>
    <row r="1564" spans="1:21" x14ac:dyDescent="0.3">
      <c r="A1564" s="44" t="s">
        <v>230</v>
      </c>
      <c r="B1564" s="40" t="s">
        <v>272</v>
      </c>
      <c r="C1564" s="41"/>
      <c r="D1564" s="41"/>
      <c r="E1564" s="41"/>
      <c r="F1564" s="41"/>
      <c r="G1564" s="41"/>
      <c r="H1564" s="41"/>
      <c r="I1564" s="41"/>
      <c r="J1564" s="41"/>
      <c r="K1564" s="41"/>
      <c r="L1564" s="41"/>
      <c r="M1564" s="41"/>
      <c r="N1564" s="41"/>
      <c r="O1564" s="41"/>
      <c r="P1564" s="41"/>
      <c r="Q1564" s="41"/>
      <c r="R1564" s="41"/>
      <c r="S1564" s="41"/>
      <c r="T1564" s="41"/>
      <c r="U1564" s="41"/>
    </row>
    <row r="1566" spans="1:21" ht="28.8" x14ac:dyDescent="0.3">
      <c r="B1566" s="19" t="s">
        <v>0</v>
      </c>
      <c r="C1566" s="33" t="s">
        <v>229</v>
      </c>
      <c r="D1566" s="34" t="s">
        <v>231</v>
      </c>
      <c r="E1566" s="35" t="s">
        <v>232</v>
      </c>
      <c r="F1566" s="38" t="s">
        <v>233</v>
      </c>
      <c r="G1566" s="39"/>
      <c r="H1566" s="38" t="s">
        <v>234</v>
      </c>
      <c r="I1566" s="39"/>
      <c r="J1566" s="38" t="s">
        <v>235</v>
      </c>
      <c r="K1566" s="39"/>
      <c r="L1566" s="39"/>
      <c r="M1566" s="39"/>
      <c r="N1566" s="38" t="s">
        <v>236</v>
      </c>
      <c r="O1566" s="39"/>
      <c r="P1566" s="39"/>
      <c r="Q1566" s="39"/>
      <c r="R1566" s="33" t="s">
        <v>1</v>
      </c>
      <c r="S1566" s="15" t="s">
        <v>228</v>
      </c>
      <c r="T1566" s="15" t="s">
        <v>2</v>
      </c>
      <c r="U1566" s="15" t="s">
        <v>3</v>
      </c>
    </row>
    <row r="1567" spans="1:21" x14ac:dyDescent="0.3">
      <c r="B1567" s="23" cm="1">
        <f t="array" ref="B1567:U1569">'2. Master Tire Specs  '!C1738:V1740</f>
        <v>0</v>
      </c>
      <c r="C1567" s="23">
        <v>0</v>
      </c>
      <c r="D1567" s="24">
        <v>0</v>
      </c>
      <c r="E1567" s="25">
        <v>0</v>
      </c>
      <c r="F1567" s="25">
        <v>0</v>
      </c>
      <c r="G1567" s="26">
        <v>0</v>
      </c>
      <c r="H1567" s="26">
        <v>0</v>
      </c>
      <c r="I1567" s="25">
        <v>0</v>
      </c>
      <c r="J1567" s="26">
        <v>0</v>
      </c>
      <c r="K1567" s="26">
        <v>0</v>
      </c>
      <c r="L1567" s="26">
        <v>0</v>
      </c>
      <c r="M1567" s="23">
        <v>0</v>
      </c>
      <c r="N1567" s="26">
        <v>0</v>
      </c>
      <c r="O1567" s="26">
        <v>0</v>
      </c>
      <c r="P1567" s="23">
        <v>0</v>
      </c>
      <c r="Q1567" s="23">
        <v>0</v>
      </c>
      <c r="R1567" s="23">
        <v>0</v>
      </c>
      <c r="S1567" s="2">
        <v>0</v>
      </c>
      <c r="T1567" s="2">
        <v>0</v>
      </c>
      <c r="U1567" s="2">
        <v>0</v>
      </c>
    </row>
    <row r="1568" spans="1:21" x14ac:dyDescent="0.3">
      <c r="B1568" s="23">
        <v>0</v>
      </c>
      <c r="C1568" s="23">
        <v>0</v>
      </c>
      <c r="D1568" s="24">
        <v>0</v>
      </c>
      <c r="E1568" s="25">
        <v>0</v>
      </c>
      <c r="F1568" s="25">
        <v>0</v>
      </c>
      <c r="G1568" s="26">
        <v>0</v>
      </c>
      <c r="H1568" s="26">
        <v>0</v>
      </c>
      <c r="I1568" s="25">
        <v>0</v>
      </c>
      <c r="J1568" s="26">
        <v>0</v>
      </c>
      <c r="K1568" s="26">
        <v>0</v>
      </c>
      <c r="L1568" s="26">
        <v>0</v>
      </c>
      <c r="M1568" s="26">
        <v>0</v>
      </c>
      <c r="N1568" s="26">
        <v>0</v>
      </c>
      <c r="O1568" s="26">
        <v>0</v>
      </c>
      <c r="P1568" s="23">
        <v>0</v>
      </c>
      <c r="Q1568" s="23">
        <v>0</v>
      </c>
      <c r="R1568" s="23">
        <v>0</v>
      </c>
      <c r="S1568" s="2">
        <v>0</v>
      </c>
      <c r="T1568" s="2">
        <v>0</v>
      </c>
      <c r="U1568" s="2">
        <v>0</v>
      </c>
    </row>
    <row r="1569" spans="1:21" x14ac:dyDescent="0.3">
      <c r="B1569" s="23">
        <v>0</v>
      </c>
      <c r="C1569" s="23">
        <v>0</v>
      </c>
      <c r="D1569" s="24">
        <v>0</v>
      </c>
      <c r="E1569" s="25">
        <v>0</v>
      </c>
      <c r="F1569" s="25">
        <v>0</v>
      </c>
      <c r="G1569" s="26">
        <v>0</v>
      </c>
      <c r="H1569" s="26">
        <v>0</v>
      </c>
      <c r="I1569" s="25">
        <v>0</v>
      </c>
      <c r="J1569" s="26">
        <v>0</v>
      </c>
      <c r="K1569" s="26">
        <v>0</v>
      </c>
      <c r="L1569" s="26">
        <v>0</v>
      </c>
      <c r="M1569" s="26">
        <v>0</v>
      </c>
      <c r="N1569" s="26">
        <v>0</v>
      </c>
      <c r="O1569" s="26">
        <v>0</v>
      </c>
      <c r="P1569" s="23">
        <v>0</v>
      </c>
      <c r="Q1569" s="23">
        <v>0</v>
      </c>
      <c r="R1569" s="23">
        <v>0</v>
      </c>
      <c r="S1569" s="2">
        <v>0</v>
      </c>
      <c r="T1569" s="2">
        <v>0</v>
      </c>
      <c r="U1569" s="2">
        <v>0</v>
      </c>
    </row>
    <row r="1570" spans="1:21" x14ac:dyDescent="0.3">
      <c r="B1570" s="23"/>
      <c r="C1570" s="23"/>
      <c r="D1570" s="24"/>
      <c r="E1570" s="25"/>
      <c r="F1570" s="25"/>
      <c r="G1570" s="26"/>
      <c r="H1570" s="26"/>
      <c r="I1570" s="25"/>
      <c r="J1570" s="26"/>
      <c r="K1570" s="26"/>
      <c r="L1570" s="26"/>
      <c r="M1570" s="26"/>
      <c r="N1570" s="26"/>
      <c r="O1570" s="26"/>
      <c r="P1570" s="23"/>
      <c r="Q1570" s="23"/>
      <c r="R1570" s="23"/>
      <c r="S1570" s="2"/>
      <c r="T1570" s="2"/>
      <c r="U1570" s="2"/>
    </row>
    <row r="1572" spans="1:21" x14ac:dyDescent="0.3">
      <c r="A1572" s="42" t="s">
        <v>245</v>
      </c>
    </row>
    <row r="1573" spans="1:21" x14ac:dyDescent="0.3">
      <c r="A1573" s="42" t="s">
        <v>239</v>
      </c>
    </row>
    <row r="1575" spans="1:21" x14ac:dyDescent="0.3">
      <c r="A1575" s="42" t="s">
        <v>258</v>
      </c>
      <c r="B1575" s="4"/>
    </row>
    <row r="1576" spans="1:21" x14ac:dyDescent="0.3">
      <c r="A1576" s="42" t="s">
        <v>252</v>
      </c>
      <c r="B1576" s="4"/>
    </row>
    <row r="1577" spans="1:21" x14ac:dyDescent="0.3">
      <c r="A1577" s="42" t="s">
        <v>269</v>
      </c>
      <c r="B1577" s="4"/>
    </row>
    <row r="1579" spans="1:21" x14ac:dyDescent="0.3">
      <c r="A1579" s="42" t="s">
        <v>268</v>
      </c>
    </row>
    <row r="1584" spans="1:21" x14ac:dyDescent="0.3">
      <c r="A1584" s="42" t="s">
        <v>260</v>
      </c>
    </row>
    <row r="1585" spans="1:21" x14ac:dyDescent="0.3">
      <c r="A1585" s="42" t="s">
        <v>261</v>
      </c>
    </row>
    <row r="1586" spans="1:21" x14ac:dyDescent="0.3">
      <c r="A1586" s="42" t="s">
        <v>259</v>
      </c>
      <c r="B1586" s="4"/>
    </row>
    <row r="1588" spans="1:21" x14ac:dyDescent="0.3">
      <c r="A1588" s="42" t="s">
        <v>262</v>
      </c>
    </row>
    <row r="1589" spans="1:21" x14ac:dyDescent="0.3">
      <c r="A1589" s="42" t="s">
        <v>263</v>
      </c>
    </row>
    <row r="1590" spans="1:21" x14ac:dyDescent="0.3">
      <c r="A1590" s="42" t="s">
        <v>264</v>
      </c>
      <c r="B1590" s="4"/>
    </row>
    <row r="1592" spans="1:21" x14ac:dyDescent="0.3">
      <c r="A1592" s="42" t="s">
        <v>265</v>
      </c>
    </row>
    <row r="1593" spans="1:21" x14ac:dyDescent="0.3">
      <c r="A1593" s="42" t="s">
        <v>266</v>
      </c>
    </row>
    <row r="1594" spans="1:21" x14ac:dyDescent="0.3">
      <c r="A1594" s="42" t="s">
        <v>267</v>
      </c>
      <c r="B1594" s="4"/>
    </row>
    <row r="1597" spans="1:21" x14ac:dyDescent="0.3">
      <c r="A1597" s="44" t="s">
        <v>230</v>
      </c>
      <c r="B1597" s="40" t="s">
        <v>272</v>
      </c>
      <c r="C1597" s="41"/>
      <c r="D1597" s="41"/>
      <c r="E1597" s="41"/>
      <c r="F1597" s="41"/>
      <c r="G1597" s="41"/>
      <c r="H1597" s="41"/>
      <c r="I1597" s="41"/>
      <c r="J1597" s="41"/>
      <c r="K1597" s="41"/>
      <c r="L1597" s="41"/>
      <c r="M1597" s="41"/>
      <c r="N1597" s="41"/>
      <c r="O1597" s="41"/>
      <c r="P1597" s="41"/>
      <c r="Q1597" s="41"/>
      <c r="R1597" s="41"/>
      <c r="S1597" s="41"/>
      <c r="T1597" s="41"/>
      <c r="U1597" s="41"/>
    </row>
    <row r="1599" spans="1:21" ht="28.8" x14ac:dyDescent="0.3">
      <c r="B1599" s="19" t="s">
        <v>0</v>
      </c>
      <c r="C1599" s="33" t="s">
        <v>229</v>
      </c>
      <c r="D1599" s="34" t="s">
        <v>231</v>
      </c>
      <c r="E1599" s="35" t="s">
        <v>232</v>
      </c>
      <c r="F1599" s="38" t="s">
        <v>233</v>
      </c>
      <c r="G1599" s="39"/>
      <c r="H1599" s="38" t="s">
        <v>234</v>
      </c>
      <c r="I1599" s="39"/>
      <c r="J1599" s="38" t="s">
        <v>235</v>
      </c>
      <c r="K1599" s="39"/>
      <c r="L1599" s="39"/>
      <c r="M1599" s="39"/>
      <c r="N1599" s="38" t="s">
        <v>236</v>
      </c>
      <c r="O1599" s="39"/>
      <c r="P1599" s="39"/>
      <c r="Q1599" s="39"/>
      <c r="R1599" s="33" t="s">
        <v>1</v>
      </c>
      <c r="S1599" s="15" t="s">
        <v>228</v>
      </c>
      <c r="T1599" s="15" t="s">
        <v>2</v>
      </c>
      <c r="U1599" s="15" t="s">
        <v>3</v>
      </c>
    </row>
    <row r="1600" spans="1:21" x14ac:dyDescent="0.3">
      <c r="B1600" s="23" cm="1">
        <f t="array" ref="B1600:U1602">'2. Master Tire Specs  '!C1771:V1773</f>
        <v>0</v>
      </c>
      <c r="C1600" s="23">
        <v>0</v>
      </c>
      <c r="D1600" s="24">
        <v>0</v>
      </c>
      <c r="E1600" s="25">
        <v>0</v>
      </c>
      <c r="F1600" s="25">
        <v>0</v>
      </c>
      <c r="G1600" s="26">
        <v>0</v>
      </c>
      <c r="H1600" s="26">
        <v>0</v>
      </c>
      <c r="I1600" s="25">
        <v>0</v>
      </c>
      <c r="J1600" s="26">
        <v>0</v>
      </c>
      <c r="K1600" s="26">
        <v>0</v>
      </c>
      <c r="L1600" s="26">
        <v>0</v>
      </c>
      <c r="M1600" s="23">
        <v>0</v>
      </c>
      <c r="N1600" s="26">
        <v>0</v>
      </c>
      <c r="O1600" s="26">
        <v>0</v>
      </c>
      <c r="P1600" s="23">
        <v>0</v>
      </c>
      <c r="Q1600" s="23">
        <v>0</v>
      </c>
      <c r="R1600" s="23">
        <v>0</v>
      </c>
      <c r="S1600" s="2">
        <v>0</v>
      </c>
      <c r="T1600" s="2">
        <v>0</v>
      </c>
      <c r="U1600" s="2">
        <v>0</v>
      </c>
    </row>
    <row r="1601" spans="1:21" x14ac:dyDescent="0.3">
      <c r="B1601" s="23">
        <v>0</v>
      </c>
      <c r="C1601" s="23">
        <v>0</v>
      </c>
      <c r="D1601" s="24">
        <v>0</v>
      </c>
      <c r="E1601" s="25">
        <v>0</v>
      </c>
      <c r="F1601" s="25">
        <v>0</v>
      </c>
      <c r="G1601" s="26">
        <v>0</v>
      </c>
      <c r="H1601" s="26">
        <v>0</v>
      </c>
      <c r="I1601" s="25">
        <v>0</v>
      </c>
      <c r="J1601" s="26">
        <v>0</v>
      </c>
      <c r="K1601" s="26">
        <v>0</v>
      </c>
      <c r="L1601" s="26">
        <v>0</v>
      </c>
      <c r="M1601" s="26">
        <v>0</v>
      </c>
      <c r="N1601" s="26">
        <v>0</v>
      </c>
      <c r="O1601" s="26">
        <v>0</v>
      </c>
      <c r="P1601" s="23">
        <v>0</v>
      </c>
      <c r="Q1601" s="23">
        <v>0</v>
      </c>
      <c r="R1601" s="23">
        <v>0</v>
      </c>
      <c r="S1601" s="2">
        <v>0</v>
      </c>
      <c r="T1601" s="2">
        <v>0</v>
      </c>
      <c r="U1601" s="2">
        <v>0</v>
      </c>
    </row>
    <row r="1602" spans="1:21" x14ac:dyDescent="0.3">
      <c r="B1602" s="23">
        <v>0</v>
      </c>
      <c r="C1602" s="23">
        <v>0</v>
      </c>
      <c r="D1602" s="24">
        <v>0</v>
      </c>
      <c r="E1602" s="25">
        <v>0</v>
      </c>
      <c r="F1602" s="25">
        <v>0</v>
      </c>
      <c r="G1602" s="26">
        <v>0</v>
      </c>
      <c r="H1602" s="26">
        <v>0</v>
      </c>
      <c r="I1602" s="25">
        <v>0</v>
      </c>
      <c r="J1602" s="26">
        <v>0</v>
      </c>
      <c r="K1602" s="26">
        <v>0</v>
      </c>
      <c r="L1602" s="26">
        <v>0</v>
      </c>
      <c r="M1602" s="26">
        <v>0</v>
      </c>
      <c r="N1602" s="26">
        <v>0</v>
      </c>
      <c r="O1602" s="26">
        <v>0</v>
      </c>
      <c r="P1602" s="23">
        <v>0</v>
      </c>
      <c r="Q1602" s="23">
        <v>0</v>
      </c>
      <c r="R1602" s="23">
        <v>0</v>
      </c>
      <c r="S1602" s="2">
        <v>0</v>
      </c>
      <c r="T1602" s="2">
        <v>0</v>
      </c>
      <c r="U1602" s="2">
        <v>0</v>
      </c>
    </row>
    <row r="1603" spans="1:21" x14ac:dyDescent="0.3">
      <c r="B1603" s="23"/>
      <c r="C1603" s="23"/>
      <c r="D1603" s="24"/>
      <c r="E1603" s="25"/>
      <c r="F1603" s="25"/>
      <c r="G1603" s="26"/>
      <c r="H1603" s="26"/>
      <c r="I1603" s="25"/>
      <c r="J1603" s="26"/>
      <c r="K1603" s="26"/>
      <c r="L1603" s="26"/>
      <c r="M1603" s="26"/>
      <c r="N1603" s="26"/>
      <c r="O1603" s="26"/>
      <c r="P1603" s="23"/>
      <c r="Q1603" s="23"/>
      <c r="R1603" s="23"/>
      <c r="S1603" s="2"/>
      <c r="T1603" s="2"/>
      <c r="U1603" s="2"/>
    </row>
    <row r="1605" spans="1:21" x14ac:dyDescent="0.3">
      <c r="A1605" s="42" t="s">
        <v>245</v>
      </c>
    </row>
    <row r="1606" spans="1:21" x14ac:dyDescent="0.3">
      <c r="A1606" s="42" t="s">
        <v>239</v>
      </c>
    </row>
    <row r="1608" spans="1:21" x14ac:dyDescent="0.3">
      <c r="A1608" s="42" t="s">
        <v>258</v>
      </c>
      <c r="B1608" s="4"/>
    </row>
    <row r="1609" spans="1:21" x14ac:dyDescent="0.3">
      <c r="A1609" s="42" t="s">
        <v>252</v>
      </c>
      <c r="B1609" s="4"/>
    </row>
    <row r="1610" spans="1:21" x14ac:dyDescent="0.3">
      <c r="A1610" s="42" t="s">
        <v>269</v>
      </c>
      <c r="B1610" s="4"/>
    </row>
    <row r="1612" spans="1:21" x14ac:dyDescent="0.3">
      <c r="A1612" s="42" t="s">
        <v>268</v>
      </c>
    </row>
    <row r="1617" spans="1:21" x14ac:dyDescent="0.3">
      <c r="A1617" s="42" t="s">
        <v>260</v>
      </c>
    </row>
    <row r="1618" spans="1:21" x14ac:dyDescent="0.3">
      <c r="A1618" s="42" t="s">
        <v>261</v>
      </c>
    </row>
    <row r="1619" spans="1:21" x14ac:dyDescent="0.3">
      <c r="A1619" s="42" t="s">
        <v>259</v>
      </c>
      <c r="B1619" s="4"/>
    </row>
    <row r="1621" spans="1:21" x14ac:dyDescent="0.3">
      <c r="A1621" s="42" t="s">
        <v>262</v>
      </c>
    </row>
    <row r="1622" spans="1:21" x14ac:dyDescent="0.3">
      <c r="A1622" s="42" t="s">
        <v>263</v>
      </c>
    </row>
    <row r="1623" spans="1:21" x14ac:dyDescent="0.3">
      <c r="A1623" s="42" t="s">
        <v>264</v>
      </c>
      <c r="B1623" s="4"/>
    </row>
    <row r="1625" spans="1:21" x14ac:dyDescent="0.3">
      <c r="A1625" s="42" t="s">
        <v>265</v>
      </c>
    </row>
    <row r="1626" spans="1:21" x14ac:dyDescent="0.3">
      <c r="A1626" s="42" t="s">
        <v>266</v>
      </c>
    </row>
    <row r="1627" spans="1:21" x14ac:dyDescent="0.3">
      <c r="A1627" s="42" t="s">
        <v>267</v>
      </c>
      <c r="B1627" s="4"/>
    </row>
    <row r="1629" spans="1:21" x14ac:dyDescent="0.3">
      <c r="A1629" s="44" t="s">
        <v>230</v>
      </c>
      <c r="B1629" s="40" t="s">
        <v>272</v>
      </c>
      <c r="C1629" s="41"/>
      <c r="D1629" s="41"/>
      <c r="E1629" s="41"/>
      <c r="F1629" s="41"/>
      <c r="G1629" s="41"/>
      <c r="H1629" s="41"/>
      <c r="I1629" s="41"/>
      <c r="J1629" s="41"/>
      <c r="K1629" s="41"/>
      <c r="L1629" s="41"/>
      <c r="M1629" s="41"/>
      <c r="N1629" s="41"/>
      <c r="O1629" s="41"/>
      <c r="P1629" s="41"/>
      <c r="Q1629" s="41"/>
      <c r="R1629" s="41"/>
      <c r="S1629" s="41"/>
      <c r="T1629" s="41"/>
      <c r="U1629" s="41"/>
    </row>
    <row r="1631" spans="1:21" ht="28.8" x14ac:dyDescent="0.3">
      <c r="B1631" s="19" t="s">
        <v>0</v>
      </c>
      <c r="C1631" s="33" t="s">
        <v>229</v>
      </c>
      <c r="D1631" s="34" t="s">
        <v>231</v>
      </c>
      <c r="E1631" s="35" t="s">
        <v>232</v>
      </c>
      <c r="F1631" s="38" t="s">
        <v>233</v>
      </c>
      <c r="G1631" s="39"/>
      <c r="H1631" s="38" t="s">
        <v>234</v>
      </c>
      <c r="I1631" s="39"/>
      <c r="J1631" s="38" t="s">
        <v>235</v>
      </c>
      <c r="K1631" s="39"/>
      <c r="L1631" s="39"/>
      <c r="M1631" s="39"/>
      <c r="N1631" s="38" t="s">
        <v>236</v>
      </c>
      <c r="O1631" s="39"/>
      <c r="P1631" s="39"/>
      <c r="Q1631" s="39"/>
      <c r="R1631" s="33" t="s">
        <v>1</v>
      </c>
      <c r="S1631" s="15" t="s">
        <v>228</v>
      </c>
      <c r="T1631" s="15" t="s">
        <v>2</v>
      </c>
      <c r="U1631" s="15" t="s">
        <v>3</v>
      </c>
    </row>
    <row r="1632" spans="1:21" x14ac:dyDescent="0.3">
      <c r="B1632" s="23" cm="1">
        <f t="array" ref="B1632:U1634">'2. Master Tire Specs  '!C1803:V1805</f>
        <v>0</v>
      </c>
      <c r="C1632" s="23">
        <v>0</v>
      </c>
      <c r="D1632" s="24">
        <v>0</v>
      </c>
      <c r="E1632" s="25">
        <v>0</v>
      </c>
      <c r="F1632" s="25">
        <v>0</v>
      </c>
      <c r="G1632" s="26">
        <v>0</v>
      </c>
      <c r="H1632" s="26">
        <v>0</v>
      </c>
      <c r="I1632" s="25">
        <v>0</v>
      </c>
      <c r="J1632" s="26">
        <v>0</v>
      </c>
      <c r="K1632" s="26">
        <v>0</v>
      </c>
      <c r="L1632" s="26">
        <v>0</v>
      </c>
      <c r="M1632" s="23">
        <v>0</v>
      </c>
      <c r="N1632" s="26">
        <v>0</v>
      </c>
      <c r="O1632" s="26">
        <v>0</v>
      </c>
      <c r="P1632" s="23">
        <v>0</v>
      </c>
      <c r="Q1632" s="23">
        <v>0</v>
      </c>
      <c r="R1632" s="23">
        <v>0</v>
      </c>
      <c r="S1632" s="2">
        <v>0</v>
      </c>
      <c r="T1632" s="2">
        <v>0</v>
      </c>
      <c r="U1632" s="2">
        <v>0</v>
      </c>
    </row>
    <row r="1633" spans="1:21" x14ac:dyDescent="0.3">
      <c r="B1633" s="23">
        <v>0</v>
      </c>
      <c r="C1633" s="23">
        <v>0</v>
      </c>
      <c r="D1633" s="24">
        <v>0</v>
      </c>
      <c r="E1633" s="25">
        <v>0</v>
      </c>
      <c r="F1633" s="25">
        <v>0</v>
      </c>
      <c r="G1633" s="26">
        <v>0</v>
      </c>
      <c r="H1633" s="26">
        <v>0</v>
      </c>
      <c r="I1633" s="25">
        <v>0</v>
      </c>
      <c r="J1633" s="26">
        <v>0</v>
      </c>
      <c r="K1633" s="26">
        <v>0</v>
      </c>
      <c r="L1633" s="26">
        <v>0</v>
      </c>
      <c r="M1633" s="26">
        <v>0</v>
      </c>
      <c r="N1633" s="26">
        <v>0</v>
      </c>
      <c r="O1633" s="26">
        <v>0</v>
      </c>
      <c r="P1633" s="23">
        <v>0</v>
      </c>
      <c r="Q1633" s="23">
        <v>0</v>
      </c>
      <c r="R1633" s="23">
        <v>0</v>
      </c>
      <c r="S1633" s="2">
        <v>0</v>
      </c>
      <c r="T1633" s="2">
        <v>0</v>
      </c>
      <c r="U1633" s="2">
        <v>0</v>
      </c>
    </row>
    <row r="1634" spans="1:21" x14ac:dyDescent="0.3">
      <c r="B1634" s="23">
        <v>0</v>
      </c>
      <c r="C1634" s="23">
        <v>0</v>
      </c>
      <c r="D1634" s="24">
        <v>0</v>
      </c>
      <c r="E1634" s="25">
        <v>0</v>
      </c>
      <c r="F1634" s="25">
        <v>0</v>
      </c>
      <c r="G1634" s="26">
        <v>0</v>
      </c>
      <c r="H1634" s="26">
        <v>0</v>
      </c>
      <c r="I1634" s="25">
        <v>0</v>
      </c>
      <c r="J1634" s="26">
        <v>0</v>
      </c>
      <c r="K1634" s="26">
        <v>0</v>
      </c>
      <c r="L1634" s="26">
        <v>0</v>
      </c>
      <c r="M1634" s="26">
        <v>0</v>
      </c>
      <c r="N1634" s="26">
        <v>0</v>
      </c>
      <c r="O1634" s="26">
        <v>0</v>
      </c>
      <c r="P1634" s="23">
        <v>0</v>
      </c>
      <c r="Q1634" s="23">
        <v>0</v>
      </c>
      <c r="R1634" s="23">
        <v>0</v>
      </c>
      <c r="S1634" s="2">
        <v>0</v>
      </c>
      <c r="T1634" s="2">
        <v>0</v>
      </c>
      <c r="U1634" s="2">
        <v>0</v>
      </c>
    </row>
    <row r="1635" spans="1:21" x14ac:dyDescent="0.3">
      <c r="B1635" s="23"/>
      <c r="C1635" s="23"/>
      <c r="D1635" s="24"/>
      <c r="E1635" s="25"/>
      <c r="F1635" s="25"/>
      <c r="G1635" s="26"/>
      <c r="H1635" s="26"/>
      <c r="I1635" s="25"/>
      <c r="J1635" s="26"/>
      <c r="K1635" s="26"/>
      <c r="L1635" s="26"/>
      <c r="M1635" s="26"/>
      <c r="N1635" s="26"/>
      <c r="O1635" s="26"/>
      <c r="P1635" s="23"/>
      <c r="Q1635" s="23"/>
      <c r="R1635" s="23"/>
      <c r="S1635" s="2"/>
      <c r="T1635" s="2"/>
      <c r="U1635" s="2"/>
    </row>
    <row r="1637" spans="1:21" x14ac:dyDescent="0.3">
      <c r="A1637" s="42" t="s">
        <v>245</v>
      </c>
    </row>
    <row r="1638" spans="1:21" x14ac:dyDescent="0.3">
      <c r="A1638" s="42" t="s">
        <v>239</v>
      </c>
    </row>
    <row r="1640" spans="1:21" x14ac:dyDescent="0.3">
      <c r="A1640" s="42" t="s">
        <v>258</v>
      </c>
      <c r="B1640" s="4"/>
    </row>
    <row r="1641" spans="1:21" x14ac:dyDescent="0.3">
      <c r="A1641" s="42" t="s">
        <v>252</v>
      </c>
      <c r="B1641" s="4"/>
    </row>
    <row r="1642" spans="1:21" x14ac:dyDescent="0.3">
      <c r="A1642" s="42" t="s">
        <v>269</v>
      </c>
      <c r="B1642" s="4"/>
    </row>
    <row r="1644" spans="1:21" x14ac:dyDescent="0.3">
      <c r="A1644" s="42" t="s">
        <v>268</v>
      </c>
    </row>
    <row r="1649" spans="1:21" x14ac:dyDescent="0.3">
      <c r="A1649" s="42" t="s">
        <v>260</v>
      </c>
    </row>
    <row r="1650" spans="1:21" x14ac:dyDescent="0.3">
      <c r="A1650" s="42" t="s">
        <v>261</v>
      </c>
    </row>
    <row r="1651" spans="1:21" x14ac:dyDescent="0.3">
      <c r="A1651" s="42" t="s">
        <v>259</v>
      </c>
      <c r="B1651" s="4"/>
    </row>
    <row r="1653" spans="1:21" x14ac:dyDescent="0.3">
      <c r="A1653" s="42" t="s">
        <v>262</v>
      </c>
    </row>
    <row r="1654" spans="1:21" x14ac:dyDescent="0.3">
      <c r="A1654" s="42" t="s">
        <v>263</v>
      </c>
    </row>
    <row r="1655" spans="1:21" x14ac:dyDescent="0.3">
      <c r="A1655" s="42" t="s">
        <v>264</v>
      </c>
      <c r="B1655" s="4"/>
    </row>
    <row r="1657" spans="1:21" x14ac:dyDescent="0.3">
      <c r="A1657" s="42" t="s">
        <v>265</v>
      </c>
    </row>
    <row r="1658" spans="1:21" x14ac:dyDescent="0.3">
      <c r="A1658" s="42" t="s">
        <v>266</v>
      </c>
    </row>
    <row r="1659" spans="1:21" x14ac:dyDescent="0.3">
      <c r="A1659" s="42" t="s">
        <v>267</v>
      </c>
      <c r="B1659" s="4"/>
    </row>
    <row r="1661" spans="1:21" x14ac:dyDescent="0.3">
      <c r="A1661" s="44" t="s">
        <v>230</v>
      </c>
      <c r="B1661" s="40" t="s">
        <v>272</v>
      </c>
      <c r="C1661" s="41"/>
      <c r="D1661" s="41"/>
      <c r="E1661" s="41"/>
      <c r="F1661" s="41"/>
      <c r="G1661" s="41"/>
      <c r="H1661" s="41"/>
      <c r="I1661" s="41"/>
      <c r="J1661" s="41"/>
      <c r="K1661" s="41"/>
      <c r="L1661" s="41"/>
      <c r="M1661" s="41"/>
      <c r="N1661" s="41"/>
      <c r="O1661" s="41"/>
      <c r="P1661" s="41"/>
      <c r="Q1661" s="41"/>
      <c r="R1661" s="41"/>
      <c r="S1661" s="41"/>
      <c r="T1661" s="41"/>
      <c r="U1661" s="41"/>
    </row>
    <row r="1663" spans="1:21" ht="28.8" x14ac:dyDescent="0.3">
      <c r="B1663" s="19" t="s">
        <v>0</v>
      </c>
      <c r="C1663" s="33" t="s">
        <v>229</v>
      </c>
      <c r="D1663" s="34" t="s">
        <v>231</v>
      </c>
      <c r="E1663" s="35" t="s">
        <v>232</v>
      </c>
      <c r="F1663" s="38" t="s">
        <v>233</v>
      </c>
      <c r="G1663" s="39"/>
      <c r="H1663" s="38" t="s">
        <v>234</v>
      </c>
      <c r="I1663" s="39"/>
      <c r="J1663" s="38" t="s">
        <v>235</v>
      </c>
      <c r="K1663" s="39"/>
      <c r="L1663" s="39"/>
      <c r="M1663" s="39"/>
      <c r="N1663" s="38" t="s">
        <v>236</v>
      </c>
      <c r="O1663" s="39"/>
      <c r="P1663" s="39"/>
      <c r="Q1663" s="39"/>
      <c r="R1663" s="33" t="s">
        <v>1</v>
      </c>
      <c r="S1663" s="15" t="s">
        <v>228</v>
      </c>
      <c r="T1663" s="15" t="s">
        <v>2</v>
      </c>
      <c r="U1663" s="15" t="s">
        <v>3</v>
      </c>
    </row>
    <row r="1664" spans="1:21" x14ac:dyDescent="0.3">
      <c r="B1664" s="23" cm="1">
        <f t="array" ref="B1664:U1666">'2. Master Tire Specs  '!C1835:V1837</f>
        <v>0</v>
      </c>
      <c r="C1664" s="23">
        <v>0</v>
      </c>
      <c r="D1664" s="24">
        <v>0</v>
      </c>
      <c r="E1664" s="25">
        <v>0</v>
      </c>
      <c r="F1664" s="25">
        <v>0</v>
      </c>
      <c r="G1664" s="26">
        <v>0</v>
      </c>
      <c r="H1664" s="26">
        <v>0</v>
      </c>
      <c r="I1664" s="25">
        <v>0</v>
      </c>
      <c r="J1664" s="26">
        <v>0</v>
      </c>
      <c r="K1664" s="26">
        <v>0</v>
      </c>
      <c r="L1664" s="26">
        <v>0</v>
      </c>
      <c r="M1664" s="23">
        <v>0</v>
      </c>
      <c r="N1664" s="26">
        <v>0</v>
      </c>
      <c r="O1664" s="26">
        <v>0</v>
      </c>
      <c r="P1664" s="23">
        <v>0</v>
      </c>
      <c r="Q1664" s="23">
        <v>0</v>
      </c>
      <c r="R1664" s="23">
        <v>0</v>
      </c>
      <c r="S1664" s="2">
        <v>0</v>
      </c>
      <c r="T1664" s="2">
        <v>0</v>
      </c>
      <c r="U1664" s="2">
        <v>0</v>
      </c>
    </row>
    <row r="1665" spans="1:21" x14ac:dyDescent="0.3">
      <c r="B1665" s="23">
        <v>0</v>
      </c>
      <c r="C1665" s="23">
        <v>0</v>
      </c>
      <c r="D1665" s="24">
        <v>0</v>
      </c>
      <c r="E1665" s="25">
        <v>0</v>
      </c>
      <c r="F1665" s="25">
        <v>0</v>
      </c>
      <c r="G1665" s="26">
        <v>0</v>
      </c>
      <c r="H1665" s="26">
        <v>0</v>
      </c>
      <c r="I1665" s="25">
        <v>0</v>
      </c>
      <c r="J1665" s="26">
        <v>0</v>
      </c>
      <c r="K1665" s="26">
        <v>0</v>
      </c>
      <c r="L1665" s="26">
        <v>0</v>
      </c>
      <c r="M1665" s="26">
        <v>0</v>
      </c>
      <c r="N1665" s="26">
        <v>0</v>
      </c>
      <c r="O1665" s="26">
        <v>0</v>
      </c>
      <c r="P1665" s="23">
        <v>0</v>
      </c>
      <c r="Q1665" s="23">
        <v>0</v>
      </c>
      <c r="R1665" s="23">
        <v>0</v>
      </c>
      <c r="S1665" s="2">
        <v>0</v>
      </c>
      <c r="T1665" s="2">
        <v>0</v>
      </c>
      <c r="U1665" s="2">
        <v>0</v>
      </c>
    </row>
    <row r="1666" spans="1:21" x14ac:dyDescent="0.3">
      <c r="B1666" s="23">
        <v>0</v>
      </c>
      <c r="C1666" s="23">
        <v>0</v>
      </c>
      <c r="D1666" s="24">
        <v>0</v>
      </c>
      <c r="E1666" s="25">
        <v>0</v>
      </c>
      <c r="F1666" s="25">
        <v>0</v>
      </c>
      <c r="G1666" s="26">
        <v>0</v>
      </c>
      <c r="H1666" s="26">
        <v>0</v>
      </c>
      <c r="I1666" s="25">
        <v>0</v>
      </c>
      <c r="J1666" s="26">
        <v>0</v>
      </c>
      <c r="K1666" s="26">
        <v>0</v>
      </c>
      <c r="L1666" s="26">
        <v>0</v>
      </c>
      <c r="M1666" s="26">
        <v>0</v>
      </c>
      <c r="N1666" s="26">
        <v>0</v>
      </c>
      <c r="O1666" s="26">
        <v>0</v>
      </c>
      <c r="P1666" s="23">
        <v>0</v>
      </c>
      <c r="Q1666" s="23">
        <v>0</v>
      </c>
      <c r="R1666" s="23">
        <v>0</v>
      </c>
      <c r="S1666" s="2">
        <v>0</v>
      </c>
      <c r="T1666" s="2">
        <v>0</v>
      </c>
      <c r="U1666" s="2">
        <v>0</v>
      </c>
    </row>
    <row r="1667" spans="1:21" x14ac:dyDescent="0.3">
      <c r="B1667" s="23"/>
      <c r="C1667" s="23"/>
      <c r="D1667" s="24"/>
      <c r="E1667" s="25"/>
      <c r="F1667" s="25"/>
      <c r="G1667" s="26"/>
      <c r="H1667" s="26"/>
      <c r="I1667" s="25"/>
      <c r="J1667" s="26"/>
      <c r="K1667" s="26"/>
      <c r="L1667" s="26"/>
      <c r="M1667" s="26"/>
      <c r="N1667" s="26"/>
      <c r="O1667" s="26"/>
      <c r="P1667" s="23"/>
      <c r="Q1667" s="23"/>
      <c r="R1667" s="23"/>
      <c r="S1667" s="2"/>
      <c r="T1667" s="2"/>
      <c r="U1667" s="2"/>
    </row>
    <row r="1669" spans="1:21" x14ac:dyDescent="0.3">
      <c r="A1669" s="42" t="s">
        <v>245</v>
      </c>
    </row>
    <row r="1670" spans="1:21" x14ac:dyDescent="0.3">
      <c r="A1670" s="42" t="s">
        <v>239</v>
      </c>
    </row>
    <row r="1672" spans="1:21" x14ac:dyDescent="0.3">
      <c r="A1672" s="42" t="s">
        <v>258</v>
      </c>
      <c r="B1672" s="4"/>
    </row>
    <row r="1673" spans="1:21" x14ac:dyDescent="0.3">
      <c r="A1673" s="42" t="s">
        <v>252</v>
      </c>
      <c r="B1673" s="4"/>
    </row>
    <row r="1674" spans="1:21" x14ac:dyDescent="0.3">
      <c r="A1674" s="42" t="s">
        <v>269</v>
      </c>
      <c r="B1674" s="4"/>
    </row>
    <row r="1676" spans="1:21" x14ac:dyDescent="0.3">
      <c r="A1676" s="42" t="s">
        <v>268</v>
      </c>
    </row>
    <row r="1681" spans="1:21" x14ac:dyDescent="0.3">
      <c r="A1681" s="42" t="s">
        <v>260</v>
      </c>
    </row>
    <row r="1682" spans="1:21" x14ac:dyDescent="0.3">
      <c r="A1682" s="42" t="s">
        <v>261</v>
      </c>
    </row>
    <row r="1683" spans="1:21" x14ac:dyDescent="0.3">
      <c r="A1683" s="42" t="s">
        <v>259</v>
      </c>
      <c r="B1683" s="4"/>
    </row>
    <row r="1685" spans="1:21" x14ac:dyDescent="0.3">
      <c r="A1685" s="42" t="s">
        <v>262</v>
      </c>
    </row>
    <row r="1686" spans="1:21" x14ac:dyDescent="0.3">
      <c r="A1686" s="42" t="s">
        <v>263</v>
      </c>
    </row>
    <row r="1687" spans="1:21" x14ac:dyDescent="0.3">
      <c r="A1687" s="42" t="s">
        <v>264</v>
      </c>
      <c r="B1687" s="4"/>
    </row>
    <row r="1689" spans="1:21" x14ac:dyDescent="0.3">
      <c r="A1689" s="42" t="s">
        <v>265</v>
      </c>
    </row>
    <row r="1690" spans="1:21" x14ac:dyDescent="0.3">
      <c r="A1690" s="42" t="s">
        <v>266</v>
      </c>
    </row>
    <row r="1691" spans="1:21" x14ac:dyDescent="0.3">
      <c r="A1691" s="42" t="s">
        <v>267</v>
      </c>
      <c r="B1691" s="4"/>
    </row>
    <row r="1694" spans="1:21" x14ac:dyDescent="0.3">
      <c r="A1694" s="44" t="s">
        <v>230</v>
      </c>
      <c r="B1694" s="40" t="s">
        <v>272</v>
      </c>
      <c r="C1694" s="41"/>
      <c r="D1694" s="41"/>
      <c r="E1694" s="41"/>
      <c r="F1694" s="41"/>
      <c r="G1694" s="41"/>
      <c r="H1694" s="41"/>
      <c r="I1694" s="41"/>
      <c r="J1694" s="41"/>
      <c r="K1694" s="41"/>
      <c r="L1694" s="41"/>
      <c r="M1694" s="41"/>
      <c r="N1694" s="41"/>
      <c r="O1694" s="41"/>
      <c r="P1694" s="41"/>
      <c r="Q1694" s="41"/>
      <c r="R1694" s="41"/>
      <c r="S1694" s="41"/>
      <c r="T1694" s="41"/>
      <c r="U1694" s="41"/>
    </row>
    <row r="1696" spans="1:21" ht="28.8" x14ac:dyDescent="0.3">
      <c r="B1696" s="19" t="s">
        <v>0</v>
      </c>
      <c r="C1696" s="33" t="s">
        <v>229</v>
      </c>
      <c r="D1696" s="34" t="s">
        <v>231</v>
      </c>
      <c r="E1696" s="35" t="s">
        <v>232</v>
      </c>
      <c r="F1696" s="38" t="s">
        <v>233</v>
      </c>
      <c r="G1696" s="39"/>
      <c r="H1696" s="38" t="s">
        <v>234</v>
      </c>
      <c r="I1696" s="39"/>
      <c r="J1696" s="38" t="s">
        <v>235</v>
      </c>
      <c r="K1696" s="39"/>
      <c r="L1696" s="39"/>
      <c r="M1696" s="39"/>
      <c r="N1696" s="38" t="s">
        <v>236</v>
      </c>
      <c r="O1696" s="39"/>
      <c r="P1696" s="39"/>
      <c r="Q1696" s="39"/>
      <c r="R1696" s="33" t="s">
        <v>1</v>
      </c>
      <c r="S1696" s="15" t="s">
        <v>228</v>
      </c>
      <c r="T1696" s="15" t="s">
        <v>2</v>
      </c>
      <c r="U1696" s="15" t="s">
        <v>3</v>
      </c>
    </row>
    <row r="1697" spans="1:21" x14ac:dyDescent="0.3">
      <c r="B1697" s="23" cm="1">
        <f t="array" ref="B1697:U1699">'2. Master Tire Specs  '!C1868:V1870</f>
        <v>0</v>
      </c>
      <c r="C1697" s="23">
        <v>0</v>
      </c>
      <c r="D1697" s="24">
        <v>0</v>
      </c>
      <c r="E1697" s="25">
        <v>0</v>
      </c>
      <c r="F1697" s="25">
        <v>0</v>
      </c>
      <c r="G1697" s="26">
        <v>0</v>
      </c>
      <c r="H1697" s="26">
        <v>0</v>
      </c>
      <c r="I1697" s="25">
        <v>0</v>
      </c>
      <c r="J1697" s="26">
        <v>0</v>
      </c>
      <c r="K1697" s="26">
        <v>0</v>
      </c>
      <c r="L1697" s="26">
        <v>0</v>
      </c>
      <c r="M1697" s="23">
        <v>0</v>
      </c>
      <c r="N1697" s="26">
        <v>0</v>
      </c>
      <c r="O1697" s="26">
        <v>0</v>
      </c>
      <c r="P1697" s="23">
        <v>0</v>
      </c>
      <c r="Q1697" s="23">
        <v>0</v>
      </c>
      <c r="R1697" s="23">
        <v>0</v>
      </c>
      <c r="S1697" s="2">
        <v>0</v>
      </c>
      <c r="T1697" s="2">
        <v>0</v>
      </c>
      <c r="U1697" s="2">
        <v>0</v>
      </c>
    </row>
    <row r="1698" spans="1:21" x14ac:dyDescent="0.3">
      <c r="B1698" s="23">
        <v>0</v>
      </c>
      <c r="C1698" s="23">
        <v>0</v>
      </c>
      <c r="D1698" s="24">
        <v>0</v>
      </c>
      <c r="E1698" s="25">
        <v>0</v>
      </c>
      <c r="F1698" s="25">
        <v>0</v>
      </c>
      <c r="G1698" s="26">
        <v>0</v>
      </c>
      <c r="H1698" s="26">
        <v>0</v>
      </c>
      <c r="I1698" s="25">
        <v>0</v>
      </c>
      <c r="J1698" s="26">
        <v>0</v>
      </c>
      <c r="K1698" s="26">
        <v>0</v>
      </c>
      <c r="L1698" s="26">
        <v>0</v>
      </c>
      <c r="M1698" s="26">
        <v>0</v>
      </c>
      <c r="N1698" s="26">
        <v>0</v>
      </c>
      <c r="O1698" s="26">
        <v>0</v>
      </c>
      <c r="P1698" s="23">
        <v>0</v>
      </c>
      <c r="Q1698" s="23">
        <v>0</v>
      </c>
      <c r="R1698" s="23">
        <v>0</v>
      </c>
      <c r="S1698" s="2">
        <v>0</v>
      </c>
      <c r="T1698" s="2">
        <v>0</v>
      </c>
      <c r="U1698" s="2">
        <v>0</v>
      </c>
    </row>
    <row r="1699" spans="1:21" x14ac:dyDescent="0.3">
      <c r="B1699" s="23">
        <v>0</v>
      </c>
      <c r="C1699" s="23">
        <v>0</v>
      </c>
      <c r="D1699" s="24">
        <v>0</v>
      </c>
      <c r="E1699" s="25">
        <v>0</v>
      </c>
      <c r="F1699" s="25">
        <v>0</v>
      </c>
      <c r="G1699" s="26">
        <v>0</v>
      </c>
      <c r="H1699" s="26">
        <v>0</v>
      </c>
      <c r="I1699" s="25">
        <v>0</v>
      </c>
      <c r="J1699" s="26">
        <v>0</v>
      </c>
      <c r="K1699" s="26">
        <v>0</v>
      </c>
      <c r="L1699" s="26">
        <v>0</v>
      </c>
      <c r="M1699" s="26">
        <v>0</v>
      </c>
      <c r="N1699" s="26">
        <v>0</v>
      </c>
      <c r="O1699" s="26">
        <v>0</v>
      </c>
      <c r="P1699" s="23">
        <v>0</v>
      </c>
      <c r="Q1699" s="23">
        <v>0</v>
      </c>
      <c r="R1699" s="23">
        <v>0</v>
      </c>
      <c r="S1699" s="2">
        <v>0</v>
      </c>
      <c r="T1699" s="2">
        <v>0</v>
      </c>
      <c r="U1699" s="2">
        <v>0</v>
      </c>
    </row>
    <row r="1700" spans="1:21" x14ac:dyDescent="0.3">
      <c r="B1700" s="23"/>
      <c r="C1700" s="23"/>
      <c r="D1700" s="24"/>
      <c r="E1700" s="25"/>
      <c r="F1700" s="25"/>
      <c r="G1700" s="26"/>
      <c r="H1700" s="26"/>
      <c r="I1700" s="25"/>
      <c r="J1700" s="26"/>
      <c r="K1700" s="26"/>
      <c r="L1700" s="26"/>
      <c r="M1700" s="26"/>
      <c r="N1700" s="26"/>
      <c r="O1700" s="26"/>
      <c r="P1700" s="23"/>
      <c r="Q1700" s="23"/>
      <c r="R1700" s="23"/>
      <c r="S1700" s="2"/>
      <c r="T1700" s="2"/>
      <c r="U1700" s="2"/>
    </row>
    <row r="1702" spans="1:21" x14ac:dyDescent="0.3">
      <c r="A1702" s="42" t="s">
        <v>245</v>
      </c>
    </row>
    <row r="1703" spans="1:21" x14ac:dyDescent="0.3">
      <c r="A1703" s="42" t="s">
        <v>239</v>
      </c>
    </row>
    <row r="1705" spans="1:21" x14ac:dyDescent="0.3">
      <c r="A1705" s="42" t="s">
        <v>258</v>
      </c>
      <c r="B1705" s="4"/>
    </row>
    <row r="1706" spans="1:21" x14ac:dyDescent="0.3">
      <c r="A1706" s="42" t="s">
        <v>252</v>
      </c>
      <c r="B1706" s="4"/>
    </row>
    <row r="1707" spans="1:21" x14ac:dyDescent="0.3">
      <c r="A1707" s="42" t="s">
        <v>269</v>
      </c>
      <c r="B1707" s="4"/>
    </row>
    <row r="1709" spans="1:21" x14ac:dyDescent="0.3">
      <c r="A1709" s="42" t="s">
        <v>268</v>
      </c>
    </row>
    <row r="1714" spans="1:21" x14ac:dyDescent="0.3">
      <c r="A1714" s="42" t="s">
        <v>260</v>
      </c>
    </row>
    <row r="1715" spans="1:21" x14ac:dyDescent="0.3">
      <c r="A1715" s="42" t="s">
        <v>261</v>
      </c>
    </row>
    <row r="1716" spans="1:21" x14ac:dyDescent="0.3">
      <c r="A1716" s="42" t="s">
        <v>259</v>
      </c>
      <c r="B1716" s="4"/>
    </row>
    <row r="1718" spans="1:21" x14ac:dyDescent="0.3">
      <c r="A1718" s="42" t="s">
        <v>262</v>
      </c>
    </row>
    <row r="1719" spans="1:21" x14ac:dyDescent="0.3">
      <c r="A1719" s="42" t="s">
        <v>263</v>
      </c>
    </row>
    <row r="1720" spans="1:21" x14ac:dyDescent="0.3">
      <c r="A1720" s="42" t="s">
        <v>264</v>
      </c>
      <c r="B1720" s="4"/>
    </row>
    <row r="1722" spans="1:21" x14ac:dyDescent="0.3">
      <c r="A1722" s="42" t="s">
        <v>265</v>
      </c>
    </row>
    <row r="1723" spans="1:21" x14ac:dyDescent="0.3">
      <c r="A1723" s="42" t="s">
        <v>266</v>
      </c>
    </row>
    <row r="1724" spans="1:21" x14ac:dyDescent="0.3">
      <c r="A1724" s="42" t="s">
        <v>267</v>
      </c>
      <c r="B1724" s="4"/>
    </row>
    <row r="1726" spans="1:21" x14ac:dyDescent="0.3">
      <c r="A1726" s="44" t="s">
        <v>230</v>
      </c>
      <c r="B1726" s="40" t="s">
        <v>272</v>
      </c>
      <c r="C1726" s="41"/>
      <c r="D1726" s="41"/>
      <c r="E1726" s="41"/>
      <c r="F1726" s="41"/>
      <c r="G1726" s="41"/>
      <c r="H1726" s="41"/>
      <c r="I1726" s="41"/>
      <c r="J1726" s="41"/>
      <c r="K1726" s="41"/>
      <c r="L1726" s="41"/>
      <c r="M1726" s="41"/>
      <c r="N1726" s="41"/>
      <c r="O1726" s="41"/>
      <c r="P1726" s="41"/>
      <c r="Q1726" s="41"/>
      <c r="R1726" s="41"/>
      <c r="S1726" s="41"/>
      <c r="T1726" s="41"/>
      <c r="U1726" s="41"/>
    </row>
    <row r="1728" spans="1:21" ht="28.8" x14ac:dyDescent="0.3">
      <c r="B1728" s="19" t="s">
        <v>0</v>
      </c>
      <c r="C1728" s="33" t="s">
        <v>229</v>
      </c>
      <c r="D1728" s="34" t="s">
        <v>231</v>
      </c>
      <c r="E1728" s="35" t="s">
        <v>232</v>
      </c>
      <c r="F1728" s="38" t="s">
        <v>233</v>
      </c>
      <c r="G1728" s="39"/>
      <c r="H1728" s="38" t="s">
        <v>234</v>
      </c>
      <c r="I1728" s="39"/>
      <c r="J1728" s="38" t="s">
        <v>235</v>
      </c>
      <c r="K1728" s="39"/>
      <c r="L1728" s="39"/>
      <c r="M1728" s="39"/>
      <c r="N1728" s="38" t="s">
        <v>236</v>
      </c>
      <c r="O1728" s="39"/>
      <c r="P1728" s="39"/>
      <c r="Q1728" s="39"/>
      <c r="R1728" s="33" t="s">
        <v>1</v>
      </c>
      <c r="S1728" s="15" t="s">
        <v>228</v>
      </c>
      <c r="T1728" s="15" t="s">
        <v>2</v>
      </c>
      <c r="U1728" s="15" t="s">
        <v>3</v>
      </c>
    </row>
    <row r="1729" spans="1:21" x14ac:dyDescent="0.3">
      <c r="B1729" s="23" cm="1">
        <f t="array" ref="B1729:U1731">'2. Master Tire Specs  '!C1900:V1902</f>
        <v>0</v>
      </c>
      <c r="C1729" s="23">
        <v>0</v>
      </c>
      <c r="D1729" s="24">
        <v>0</v>
      </c>
      <c r="E1729" s="25">
        <v>0</v>
      </c>
      <c r="F1729" s="25">
        <v>0</v>
      </c>
      <c r="G1729" s="26">
        <v>0</v>
      </c>
      <c r="H1729" s="26">
        <v>0</v>
      </c>
      <c r="I1729" s="25">
        <v>0</v>
      </c>
      <c r="J1729" s="26">
        <v>0</v>
      </c>
      <c r="K1729" s="26">
        <v>0</v>
      </c>
      <c r="L1729" s="26">
        <v>0</v>
      </c>
      <c r="M1729" s="23">
        <v>0</v>
      </c>
      <c r="N1729" s="26">
        <v>0</v>
      </c>
      <c r="O1729" s="26">
        <v>0</v>
      </c>
      <c r="P1729" s="23">
        <v>0</v>
      </c>
      <c r="Q1729" s="23">
        <v>0</v>
      </c>
      <c r="R1729" s="23">
        <v>0</v>
      </c>
      <c r="S1729" s="2">
        <v>0</v>
      </c>
      <c r="T1729" s="2">
        <v>0</v>
      </c>
      <c r="U1729" s="2">
        <v>0</v>
      </c>
    </row>
    <row r="1730" spans="1:21" x14ac:dyDescent="0.3">
      <c r="B1730" s="23">
        <v>0</v>
      </c>
      <c r="C1730" s="23">
        <v>0</v>
      </c>
      <c r="D1730" s="24">
        <v>0</v>
      </c>
      <c r="E1730" s="25">
        <v>0</v>
      </c>
      <c r="F1730" s="25">
        <v>0</v>
      </c>
      <c r="G1730" s="26">
        <v>0</v>
      </c>
      <c r="H1730" s="26">
        <v>0</v>
      </c>
      <c r="I1730" s="25">
        <v>0</v>
      </c>
      <c r="J1730" s="26">
        <v>0</v>
      </c>
      <c r="K1730" s="26">
        <v>0</v>
      </c>
      <c r="L1730" s="26">
        <v>0</v>
      </c>
      <c r="M1730" s="26">
        <v>0</v>
      </c>
      <c r="N1730" s="26">
        <v>0</v>
      </c>
      <c r="O1730" s="26">
        <v>0</v>
      </c>
      <c r="P1730" s="23">
        <v>0</v>
      </c>
      <c r="Q1730" s="23">
        <v>0</v>
      </c>
      <c r="R1730" s="23">
        <v>0</v>
      </c>
      <c r="S1730" s="2">
        <v>0</v>
      </c>
      <c r="T1730" s="2">
        <v>0</v>
      </c>
      <c r="U1730" s="2">
        <v>0</v>
      </c>
    </row>
    <row r="1731" spans="1:21" x14ac:dyDescent="0.3">
      <c r="B1731" s="23">
        <v>0</v>
      </c>
      <c r="C1731" s="23">
        <v>0</v>
      </c>
      <c r="D1731" s="24">
        <v>0</v>
      </c>
      <c r="E1731" s="25">
        <v>0</v>
      </c>
      <c r="F1731" s="25">
        <v>0</v>
      </c>
      <c r="G1731" s="26">
        <v>0</v>
      </c>
      <c r="H1731" s="26">
        <v>0</v>
      </c>
      <c r="I1731" s="25">
        <v>0</v>
      </c>
      <c r="J1731" s="26">
        <v>0</v>
      </c>
      <c r="K1731" s="26">
        <v>0</v>
      </c>
      <c r="L1731" s="26">
        <v>0</v>
      </c>
      <c r="M1731" s="26">
        <v>0</v>
      </c>
      <c r="N1731" s="26">
        <v>0</v>
      </c>
      <c r="O1731" s="26">
        <v>0</v>
      </c>
      <c r="P1731" s="23">
        <v>0</v>
      </c>
      <c r="Q1731" s="23">
        <v>0</v>
      </c>
      <c r="R1731" s="23">
        <v>0</v>
      </c>
      <c r="S1731" s="2">
        <v>0</v>
      </c>
      <c r="T1731" s="2">
        <v>0</v>
      </c>
      <c r="U1731" s="2">
        <v>0</v>
      </c>
    </row>
    <row r="1732" spans="1:21" x14ac:dyDescent="0.3">
      <c r="B1732" s="23"/>
      <c r="C1732" s="23"/>
      <c r="D1732" s="24"/>
      <c r="E1732" s="25"/>
      <c r="F1732" s="25"/>
      <c r="G1732" s="26"/>
      <c r="H1732" s="26"/>
      <c r="I1732" s="25"/>
      <c r="J1732" s="26"/>
      <c r="K1732" s="26"/>
      <c r="L1732" s="26"/>
      <c r="M1732" s="26"/>
      <c r="N1732" s="26"/>
      <c r="O1732" s="26"/>
      <c r="P1732" s="23"/>
      <c r="Q1732" s="23"/>
      <c r="R1732" s="23"/>
      <c r="S1732" s="2"/>
      <c r="T1732" s="2"/>
      <c r="U1732" s="2"/>
    </row>
    <row r="1734" spans="1:21" x14ac:dyDescent="0.3">
      <c r="A1734" s="42" t="s">
        <v>245</v>
      </c>
    </row>
    <row r="1735" spans="1:21" x14ac:dyDescent="0.3">
      <c r="A1735" s="42" t="s">
        <v>239</v>
      </c>
    </row>
    <row r="1737" spans="1:21" x14ac:dyDescent="0.3">
      <c r="A1737" s="42" t="s">
        <v>258</v>
      </c>
      <c r="B1737" s="4"/>
    </row>
    <row r="1738" spans="1:21" x14ac:dyDescent="0.3">
      <c r="A1738" s="42" t="s">
        <v>252</v>
      </c>
      <c r="B1738" s="4"/>
    </row>
    <row r="1739" spans="1:21" x14ac:dyDescent="0.3">
      <c r="A1739" s="42" t="s">
        <v>269</v>
      </c>
      <c r="B1739" s="4"/>
    </row>
    <row r="1741" spans="1:21" x14ac:dyDescent="0.3">
      <c r="A1741" s="42" t="s">
        <v>268</v>
      </c>
    </row>
    <row r="1746" spans="1:21" x14ac:dyDescent="0.3">
      <c r="A1746" s="42" t="s">
        <v>260</v>
      </c>
    </row>
    <row r="1747" spans="1:21" x14ac:dyDescent="0.3">
      <c r="A1747" s="42" t="s">
        <v>261</v>
      </c>
    </row>
    <row r="1748" spans="1:21" x14ac:dyDescent="0.3">
      <c r="A1748" s="42" t="s">
        <v>259</v>
      </c>
      <c r="B1748" s="4"/>
    </row>
    <row r="1750" spans="1:21" x14ac:dyDescent="0.3">
      <c r="A1750" s="42" t="s">
        <v>262</v>
      </c>
    </row>
    <row r="1751" spans="1:21" x14ac:dyDescent="0.3">
      <c r="A1751" s="42" t="s">
        <v>263</v>
      </c>
    </row>
    <row r="1752" spans="1:21" x14ac:dyDescent="0.3">
      <c r="A1752" s="42" t="s">
        <v>264</v>
      </c>
      <c r="B1752" s="4"/>
    </row>
    <row r="1754" spans="1:21" x14ac:dyDescent="0.3">
      <c r="A1754" s="42" t="s">
        <v>265</v>
      </c>
    </row>
    <row r="1755" spans="1:21" x14ac:dyDescent="0.3">
      <c r="A1755" s="42" t="s">
        <v>266</v>
      </c>
    </row>
    <row r="1756" spans="1:21" x14ac:dyDescent="0.3">
      <c r="A1756" s="42" t="s">
        <v>267</v>
      </c>
      <c r="B1756" s="4"/>
    </row>
    <row r="1759" spans="1:21" x14ac:dyDescent="0.3">
      <c r="A1759" s="44" t="s">
        <v>230</v>
      </c>
      <c r="B1759" s="40" t="s">
        <v>272</v>
      </c>
      <c r="C1759" s="41"/>
      <c r="D1759" s="41"/>
      <c r="E1759" s="41"/>
      <c r="F1759" s="41"/>
      <c r="G1759" s="41"/>
      <c r="H1759" s="41"/>
      <c r="I1759" s="41"/>
      <c r="J1759" s="41"/>
      <c r="K1759" s="41"/>
      <c r="L1759" s="41"/>
      <c r="M1759" s="41"/>
      <c r="N1759" s="41"/>
      <c r="O1759" s="41"/>
      <c r="P1759" s="41"/>
      <c r="Q1759" s="41"/>
      <c r="R1759" s="41"/>
      <c r="S1759" s="41"/>
      <c r="T1759" s="41"/>
      <c r="U1759" s="41"/>
    </row>
    <row r="1761" spans="1:21" ht="28.8" x14ac:dyDescent="0.3">
      <c r="B1761" s="19" t="s">
        <v>0</v>
      </c>
      <c r="C1761" s="33" t="s">
        <v>229</v>
      </c>
      <c r="D1761" s="34" t="s">
        <v>231</v>
      </c>
      <c r="E1761" s="35" t="s">
        <v>232</v>
      </c>
      <c r="F1761" s="38" t="s">
        <v>233</v>
      </c>
      <c r="G1761" s="39"/>
      <c r="H1761" s="38" t="s">
        <v>234</v>
      </c>
      <c r="I1761" s="39"/>
      <c r="J1761" s="38" t="s">
        <v>235</v>
      </c>
      <c r="K1761" s="39"/>
      <c r="L1761" s="39"/>
      <c r="M1761" s="39"/>
      <c r="N1761" s="38" t="s">
        <v>236</v>
      </c>
      <c r="O1761" s="39"/>
      <c r="P1761" s="39"/>
      <c r="Q1761" s="39"/>
      <c r="R1761" s="33" t="s">
        <v>1</v>
      </c>
      <c r="S1761" s="15" t="s">
        <v>228</v>
      </c>
      <c r="T1761" s="15" t="s">
        <v>2</v>
      </c>
      <c r="U1761" s="15" t="s">
        <v>3</v>
      </c>
    </row>
    <row r="1762" spans="1:21" x14ac:dyDescent="0.3">
      <c r="B1762" s="23" cm="1">
        <f t="array" ref="B1762:U1764">'2. Master Tire Specs  '!C1933:V1935</f>
        <v>0</v>
      </c>
      <c r="C1762" s="23">
        <v>0</v>
      </c>
      <c r="D1762" s="24">
        <v>0</v>
      </c>
      <c r="E1762" s="25">
        <v>0</v>
      </c>
      <c r="F1762" s="25">
        <v>0</v>
      </c>
      <c r="G1762" s="26">
        <v>0</v>
      </c>
      <c r="H1762" s="26">
        <v>0</v>
      </c>
      <c r="I1762" s="25">
        <v>0</v>
      </c>
      <c r="J1762" s="26">
        <v>0</v>
      </c>
      <c r="K1762" s="26">
        <v>0</v>
      </c>
      <c r="L1762" s="26">
        <v>0</v>
      </c>
      <c r="M1762" s="23">
        <v>0</v>
      </c>
      <c r="N1762" s="26">
        <v>0</v>
      </c>
      <c r="O1762" s="26">
        <v>0</v>
      </c>
      <c r="P1762" s="23">
        <v>0</v>
      </c>
      <c r="Q1762" s="23">
        <v>0</v>
      </c>
      <c r="R1762" s="23">
        <v>0</v>
      </c>
      <c r="S1762" s="2">
        <v>0</v>
      </c>
      <c r="T1762" s="2">
        <v>0</v>
      </c>
      <c r="U1762" s="2">
        <v>0</v>
      </c>
    </row>
    <row r="1763" spans="1:21" x14ac:dyDescent="0.3">
      <c r="B1763" s="23">
        <v>0</v>
      </c>
      <c r="C1763" s="23">
        <v>0</v>
      </c>
      <c r="D1763" s="24">
        <v>0</v>
      </c>
      <c r="E1763" s="25">
        <v>0</v>
      </c>
      <c r="F1763" s="25">
        <v>0</v>
      </c>
      <c r="G1763" s="26">
        <v>0</v>
      </c>
      <c r="H1763" s="26">
        <v>0</v>
      </c>
      <c r="I1763" s="25">
        <v>0</v>
      </c>
      <c r="J1763" s="26">
        <v>0</v>
      </c>
      <c r="K1763" s="26">
        <v>0</v>
      </c>
      <c r="L1763" s="26">
        <v>0</v>
      </c>
      <c r="M1763" s="26">
        <v>0</v>
      </c>
      <c r="N1763" s="26">
        <v>0</v>
      </c>
      <c r="O1763" s="26">
        <v>0</v>
      </c>
      <c r="P1763" s="23">
        <v>0</v>
      </c>
      <c r="Q1763" s="23">
        <v>0</v>
      </c>
      <c r="R1763" s="23">
        <v>0</v>
      </c>
      <c r="S1763" s="2">
        <v>0</v>
      </c>
      <c r="T1763" s="2">
        <v>0</v>
      </c>
      <c r="U1763" s="2">
        <v>0</v>
      </c>
    </row>
    <row r="1764" spans="1:21" x14ac:dyDescent="0.3">
      <c r="B1764" s="23">
        <v>0</v>
      </c>
      <c r="C1764" s="23">
        <v>0</v>
      </c>
      <c r="D1764" s="24">
        <v>0</v>
      </c>
      <c r="E1764" s="25">
        <v>0</v>
      </c>
      <c r="F1764" s="25">
        <v>0</v>
      </c>
      <c r="G1764" s="26">
        <v>0</v>
      </c>
      <c r="H1764" s="26">
        <v>0</v>
      </c>
      <c r="I1764" s="25">
        <v>0</v>
      </c>
      <c r="J1764" s="26">
        <v>0</v>
      </c>
      <c r="K1764" s="26">
        <v>0</v>
      </c>
      <c r="L1764" s="26">
        <v>0</v>
      </c>
      <c r="M1764" s="26">
        <v>0</v>
      </c>
      <c r="N1764" s="26">
        <v>0</v>
      </c>
      <c r="O1764" s="26">
        <v>0</v>
      </c>
      <c r="P1764" s="23">
        <v>0</v>
      </c>
      <c r="Q1764" s="23">
        <v>0</v>
      </c>
      <c r="R1764" s="23">
        <v>0</v>
      </c>
      <c r="S1764" s="2">
        <v>0</v>
      </c>
      <c r="T1764" s="2">
        <v>0</v>
      </c>
      <c r="U1764" s="2">
        <v>0</v>
      </c>
    </row>
    <row r="1765" spans="1:21" x14ac:dyDescent="0.3">
      <c r="B1765" s="23"/>
      <c r="C1765" s="23"/>
      <c r="D1765" s="24"/>
      <c r="E1765" s="25"/>
      <c r="F1765" s="25"/>
      <c r="G1765" s="26"/>
      <c r="H1765" s="26"/>
      <c r="I1765" s="25"/>
      <c r="J1765" s="26"/>
      <c r="K1765" s="26"/>
      <c r="L1765" s="26"/>
      <c r="M1765" s="26"/>
      <c r="N1765" s="26"/>
      <c r="O1765" s="26"/>
      <c r="P1765" s="23"/>
      <c r="Q1765" s="23"/>
      <c r="R1765" s="23"/>
      <c r="S1765" s="2"/>
      <c r="T1765" s="2"/>
      <c r="U1765" s="2"/>
    </row>
    <row r="1767" spans="1:21" x14ac:dyDescent="0.3">
      <c r="A1767" s="42" t="s">
        <v>245</v>
      </c>
    </row>
    <row r="1768" spans="1:21" x14ac:dyDescent="0.3">
      <c r="A1768" s="42" t="s">
        <v>239</v>
      </c>
    </row>
    <row r="1770" spans="1:21" x14ac:dyDescent="0.3">
      <c r="A1770" s="42" t="s">
        <v>258</v>
      </c>
      <c r="B1770" s="4"/>
    </row>
    <row r="1771" spans="1:21" x14ac:dyDescent="0.3">
      <c r="A1771" s="42" t="s">
        <v>252</v>
      </c>
      <c r="B1771" s="4"/>
    </row>
    <row r="1772" spans="1:21" x14ac:dyDescent="0.3">
      <c r="A1772" s="42" t="s">
        <v>269</v>
      </c>
      <c r="B1772" s="4"/>
    </row>
    <row r="1774" spans="1:21" x14ac:dyDescent="0.3">
      <c r="A1774" s="42" t="s">
        <v>268</v>
      </c>
    </row>
    <row r="1779" spans="1:21" x14ac:dyDescent="0.3">
      <c r="A1779" s="42" t="s">
        <v>260</v>
      </c>
    </row>
    <row r="1780" spans="1:21" x14ac:dyDescent="0.3">
      <c r="A1780" s="42" t="s">
        <v>261</v>
      </c>
    </row>
    <row r="1781" spans="1:21" x14ac:dyDescent="0.3">
      <c r="A1781" s="42" t="s">
        <v>259</v>
      </c>
      <c r="B1781" s="4"/>
    </row>
    <row r="1783" spans="1:21" x14ac:dyDescent="0.3">
      <c r="A1783" s="42" t="s">
        <v>262</v>
      </c>
    </row>
    <row r="1784" spans="1:21" x14ac:dyDescent="0.3">
      <c r="A1784" s="42" t="s">
        <v>263</v>
      </c>
    </row>
    <row r="1785" spans="1:21" x14ac:dyDescent="0.3">
      <c r="A1785" s="42" t="s">
        <v>264</v>
      </c>
      <c r="B1785" s="4"/>
    </row>
    <row r="1787" spans="1:21" x14ac:dyDescent="0.3">
      <c r="A1787" s="42" t="s">
        <v>265</v>
      </c>
    </row>
    <row r="1788" spans="1:21" x14ac:dyDescent="0.3">
      <c r="A1788" s="42" t="s">
        <v>266</v>
      </c>
    </row>
    <row r="1789" spans="1:21" x14ac:dyDescent="0.3">
      <c r="A1789" s="42" t="s">
        <v>267</v>
      </c>
      <c r="B1789" s="4"/>
    </row>
    <row r="1791" spans="1:21" x14ac:dyDescent="0.3">
      <c r="A1791" s="44" t="s">
        <v>230</v>
      </c>
      <c r="B1791" s="40" t="s">
        <v>272</v>
      </c>
      <c r="C1791" s="41"/>
      <c r="D1791" s="41"/>
      <c r="E1791" s="41"/>
      <c r="F1791" s="41"/>
      <c r="G1791" s="41"/>
      <c r="H1791" s="41"/>
      <c r="I1791" s="41"/>
      <c r="J1791" s="41"/>
      <c r="K1791" s="41"/>
      <c r="L1791" s="41"/>
      <c r="M1791" s="41"/>
      <c r="N1791" s="41"/>
      <c r="O1791" s="41"/>
      <c r="P1791" s="41"/>
      <c r="Q1791" s="41"/>
      <c r="R1791" s="41"/>
      <c r="S1791" s="41"/>
      <c r="T1791" s="41"/>
      <c r="U1791" s="41"/>
    </row>
    <row r="1793" spans="1:21" ht="28.8" x14ac:dyDescent="0.3">
      <c r="B1793" s="19" t="s">
        <v>0</v>
      </c>
      <c r="C1793" s="33" t="s">
        <v>229</v>
      </c>
      <c r="D1793" s="34" t="s">
        <v>231</v>
      </c>
      <c r="E1793" s="35" t="s">
        <v>232</v>
      </c>
      <c r="F1793" s="38" t="s">
        <v>233</v>
      </c>
      <c r="G1793" s="39"/>
      <c r="H1793" s="38" t="s">
        <v>234</v>
      </c>
      <c r="I1793" s="39"/>
      <c r="J1793" s="38" t="s">
        <v>235</v>
      </c>
      <c r="K1793" s="39"/>
      <c r="L1793" s="39"/>
      <c r="M1793" s="39"/>
      <c r="N1793" s="38" t="s">
        <v>236</v>
      </c>
      <c r="O1793" s="39"/>
      <c r="P1793" s="39"/>
      <c r="Q1793" s="39"/>
      <c r="R1793" s="33" t="s">
        <v>1</v>
      </c>
      <c r="S1793" s="15" t="s">
        <v>228</v>
      </c>
      <c r="T1793" s="15" t="s">
        <v>2</v>
      </c>
      <c r="U1793" s="15" t="s">
        <v>3</v>
      </c>
    </row>
    <row r="1794" spans="1:21" x14ac:dyDescent="0.3">
      <c r="B1794" s="23" cm="1">
        <f t="array" ref="B1794:U1796">'2. Master Tire Specs  '!C1965:V1967</f>
        <v>0</v>
      </c>
      <c r="C1794" s="23">
        <v>0</v>
      </c>
      <c r="D1794" s="24">
        <v>0</v>
      </c>
      <c r="E1794" s="25">
        <v>0</v>
      </c>
      <c r="F1794" s="25">
        <v>0</v>
      </c>
      <c r="G1794" s="26">
        <v>0</v>
      </c>
      <c r="H1794" s="26">
        <v>0</v>
      </c>
      <c r="I1794" s="25">
        <v>0</v>
      </c>
      <c r="J1794" s="26">
        <v>0</v>
      </c>
      <c r="K1794" s="26">
        <v>0</v>
      </c>
      <c r="L1794" s="26">
        <v>0</v>
      </c>
      <c r="M1794" s="23">
        <v>0</v>
      </c>
      <c r="N1794" s="26">
        <v>0</v>
      </c>
      <c r="O1794" s="26">
        <v>0</v>
      </c>
      <c r="P1794" s="23">
        <v>0</v>
      </c>
      <c r="Q1794" s="23">
        <v>0</v>
      </c>
      <c r="R1794" s="23">
        <v>0</v>
      </c>
      <c r="S1794" s="2">
        <v>0</v>
      </c>
      <c r="T1794" s="2">
        <v>0</v>
      </c>
      <c r="U1794" s="2">
        <v>0</v>
      </c>
    </row>
    <row r="1795" spans="1:21" x14ac:dyDescent="0.3">
      <c r="B1795" s="23">
        <v>0</v>
      </c>
      <c r="C1795" s="23">
        <v>0</v>
      </c>
      <c r="D1795" s="24">
        <v>0</v>
      </c>
      <c r="E1795" s="25">
        <v>0</v>
      </c>
      <c r="F1795" s="25">
        <v>0</v>
      </c>
      <c r="G1795" s="26">
        <v>0</v>
      </c>
      <c r="H1795" s="26">
        <v>0</v>
      </c>
      <c r="I1795" s="25">
        <v>0</v>
      </c>
      <c r="J1795" s="26">
        <v>0</v>
      </c>
      <c r="K1795" s="26">
        <v>0</v>
      </c>
      <c r="L1795" s="26">
        <v>0</v>
      </c>
      <c r="M1795" s="26">
        <v>0</v>
      </c>
      <c r="N1795" s="26">
        <v>0</v>
      </c>
      <c r="O1795" s="26">
        <v>0</v>
      </c>
      <c r="P1795" s="23">
        <v>0</v>
      </c>
      <c r="Q1795" s="23">
        <v>0</v>
      </c>
      <c r="R1795" s="23">
        <v>0</v>
      </c>
      <c r="S1795" s="2">
        <v>0</v>
      </c>
      <c r="T1795" s="2">
        <v>0</v>
      </c>
      <c r="U1795" s="2">
        <v>0</v>
      </c>
    </row>
    <row r="1796" spans="1:21" x14ac:dyDescent="0.3">
      <c r="B1796" s="23">
        <v>0</v>
      </c>
      <c r="C1796" s="23">
        <v>0</v>
      </c>
      <c r="D1796" s="24">
        <v>0</v>
      </c>
      <c r="E1796" s="25">
        <v>0</v>
      </c>
      <c r="F1796" s="25">
        <v>0</v>
      </c>
      <c r="G1796" s="26">
        <v>0</v>
      </c>
      <c r="H1796" s="26">
        <v>0</v>
      </c>
      <c r="I1796" s="25">
        <v>0</v>
      </c>
      <c r="J1796" s="26">
        <v>0</v>
      </c>
      <c r="K1796" s="26">
        <v>0</v>
      </c>
      <c r="L1796" s="26">
        <v>0</v>
      </c>
      <c r="M1796" s="26">
        <v>0</v>
      </c>
      <c r="N1796" s="26">
        <v>0</v>
      </c>
      <c r="O1796" s="26">
        <v>0</v>
      </c>
      <c r="P1796" s="23">
        <v>0</v>
      </c>
      <c r="Q1796" s="23">
        <v>0</v>
      </c>
      <c r="R1796" s="23">
        <v>0</v>
      </c>
      <c r="S1796" s="2">
        <v>0</v>
      </c>
      <c r="T1796" s="2">
        <v>0</v>
      </c>
      <c r="U1796" s="2">
        <v>0</v>
      </c>
    </row>
    <row r="1797" spans="1:21" x14ac:dyDescent="0.3">
      <c r="B1797" s="23"/>
      <c r="C1797" s="23"/>
      <c r="D1797" s="24"/>
      <c r="E1797" s="25"/>
      <c r="F1797" s="25"/>
      <c r="G1797" s="26"/>
      <c r="H1797" s="26"/>
      <c r="I1797" s="25"/>
      <c r="J1797" s="26"/>
      <c r="K1797" s="26"/>
      <c r="L1797" s="26"/>
      <c r="M1797" s="26"/>
      <c r="N1797" s="26"/>
      <c r="O1797" s="26"/>
      <c r="P1797" s="23"/>
      <c r="Q1797" s="23"/>
      <c r="R1797" s="23"/>
      <c r="S1797" s="2"/>
      <c r="T1797" s="2"/>
      <c r="U1797" s="2"/>
    </row>
    <row r="1799" spans="1:21" x14ac:dyDescent="0.3">
      <c r="A1799" s="42" t="s">
        <v>245</v>
      </c>
    </row>
    <row r="1800" spans="1:21" x14ac:dyDescent="0.3">
      <c r="A1800" s="42" t="s">
        <v>239</v>
      </c>
    </row>
    <row r="1802" spans="1:21" x14ac:dyDescent="0.3">
      <c r="A1802" s="42" t="s">
        <v>258</v>
      </c>
      <c r="B1802" s="4"/>
    </row>
    <row r="1803" spans="1:21" x14ac:dyDescent="0.3">
      <c r="A1803" s="42" t="s">
        <v>252</v>
      </c>
      <c r="B1803" s="4"/>
    </row>
    <row r="1804" spans="1:21" x14ac:dyDescent="0.3">
      <c r="A1804" s="42" t="s">
        <v>269</v>
      </c>
      <c r="B1804" s="4"/>
    </row>
    <row r="1806" spans="1:21" x14ac:dyDescent="0.3">
      <c r="A1806" s="42" t="s">
        <v>268</v>
      </c>
    </row>
    <row r="1811" spans="1:2" x14ac:dyDescent="0.3">
      <c r="A1811" s="42" t="s">
        <v>260</v>
      </c>
    </row>
    <row r="1812" spans="1:2" x14ac:dyDescent="0.3">
      <c r="A1812" s="42" t="s">
        <v>261</v>
      </c>
    </row>
    <row r="1813" spans="1:2" x14ac:dyDescent="0.3">
      <c r="A1813" s="42" t="s">
        <v>259</v>
      </c>
      <c r="B1813" s="4"/>
    </row>
    <row r="1815" spans="1:2" x14ac:dyDescent="0.3">
      <c r="A1815" s="42" t="s">
        <v>262</v>
      </c>
    </row>
    <row r="1816" spans="1:2" x14ac:dyDescent="0.3">
      <c r="A1816" s="42" t="s">
        <v>263</v>
      </c>
    </row>
    <row r="1817" spans="1:2" x14ac:dyDescent="0.3">
      <c r="A1817" s="42" t="s">
        <v>264</v>
      </c>
      <c r="B1817" s="4"/>
    </row>
    <row r="1819" spans="1:2" x14ac:dyDescent="0.3">
      <c r="A1819" s="42" t="s">
        <v>265</v>
      </c>
    </row>
    <row r="1820" spans="1:2" x14ac:dyDescent="0.3">
      <c r="A1820" s="42" t="s">
        <v>266</v>
      </c>
    </row>
    <row r="1821" spans="1:2" x14ac:dyDescent="0.3">
      <c r="A1821" s="42" t="s">
        <v>267</v>
      </c>
      <c r="B1821" s="4"/>
    </row>
  </sheetData>
  <mergeCells count="224">
    <mergeCell ref="F1793:G1793"/>
    <mergeCell ref="H1793:I1793"/>
    <mergeCell ref="J1793:M1793"/>
    <mergeCell ref="N1793:Q1793"/>
    <mergeCell ref="F1728:G1728"/>
    <mergeCell ref="H1728:I1728"/>
    <mergeCell ref="J1728:M1728"/>
    <mergeCell ref="N1728:Q1728"/>
    <mergeCell ref="F1761:G1761"/>
    <mergeCell ref="H1761:I1761"/>
    <mergeCell ref="J1761:M1761"/>
    <mergeCell ref="N1761:Q1761"/>
    <mergeCell ref="F1663:G1663"/>
    <mergeCell ref="H1663:I1663"/>
    <mergeCell ref="J1663:M1663"/>
    <mergeCell ref="N1663:Q1663"/>
    <mergeCell ref="F1696:G1696"/>
    <mergeCell ref="H1696:I1696"/>
    <mergeCell ref="J1696:M1696"/>
    <mergeCell ref="N1696:Q1696"/>
    <mergeCell ref="F1599:G1599"/>
    <mergeCell ref="H1599:I1599"/>
    <mergeCell ref="J1599:M1599"/>
    <mergeCell ref="N1599:Q1599"/>
    <mergeCell ref="F1631:G1631"/>
    <mergeCell ref="H1631:I1631"/>
    <mergeCell ref="J1631:M1631"/>
    <mergeCell ref="N1631:Q1631"/>
    <mergeCell ref="F1534:G1534"/>
    <mergeCell ref="H1534:I1534"/>
    <mergeCell ref="J1534:M1534"/>
    <mergeCell ref="N1534:Q1534"/>
    <mergeCell ref="F1566:G1566"/>
    <mergeCell ref="H1566:I1566"/>
    <mergeCell ref="J1566:M1566"/>
    <mergeCell ref="N1566:Q1566"/>
    <mergeCell ref="F1469:G1469"/>
    <mergeCell ref="H1469:I1469"/>
    <mergeCell ref="J1469:M1469"/>
    <mergeCell ref="N1469:Q1469"/>
    <mergeCell ref="F1501:G1501"/>
    <mergeCell ref="H1501:I1501"/>
    <mergeCell ref="J1501:M1501"/>
    <mergeCell ref="N1501:Q1501"/>
    <mergeCell ref="F1404:G1404"/>
    <mergeCell ref="H1404:I1404"/>
    <mergeCell ref="J1404:M1404"/>
    <mergeCell ref="N1404:Q1404"/>
    <mergeCell ref="F1437:G1437"/>
    <mergeCell ref="H1437:I1437"/>
    <mergeCell ref="J1437:M1437"/>
    <mergeCell ref="N1437:Q1437"/>
    <mergeCell ref="F1339:G1339"/>
    <mergeCell ref="H1339:I1339"/>
    <mergeCell ref="J1339:M1339"/>
    <mergeCell ref="N1339:Q1339"/>
    <mergeCell ref="F1372:G1372"/>
    <mergeCell ref="H1372:I1372"/>
    <mergeCell ref="J1372:M1372"/>
    <mergeCell ref="N1372:Q1372"/>
    <mergeCell ref="F1275:G1275"/>
    <mergeCell ref="H1275:I1275"/>
    <mergeCell ref="J1275:M1275"/>
    <mergeCell ref="N1275:Q1275"/>
    <mergeCell ref="F1307:G1307"/>
    <mergeCell ref="H1307:I1307"/>
    <mergeCell ref="J1307:M1307"/>
    <mergeCell ref="N1307:Q1307"/>
    <mergeCell ref="F1210:G1210"/>
    <mergeCell ref="H1210:I1210"/>
    <mergeCell ref="J1210:M1210"/>
    <mergeCell ref="N1210:Q1210"/>
    <mergeCell ref="F1242:G1242"/>
    <mergeCell ref="H1242:I1242"/>
    <mergeCell ref="J1242:M1242"/>
    <mergeCell ref="N1242:Q1242"/>
    <mergeCell ref="F1144:G1144"/>
    <mergeCell ref="H1144:I1144"/>
    <mergeCell ref="J1144:M1144"/>
    <mergeCell ref="N1144:Q1144"/>
    <mergeCell ref="F1177:G1177"/>
    <mergeCell ref="H1177:I1177"/>
    <mergeCell ref="J1177:M1177"/>
    <mergeCell ref="N1177:Q1177"/>
    <mergeCell ref="F1079:G1079"/>
    <mergeCell ref="H1079:I1079"/>
    <mergeCell ref="J1079:M1079"/>
    <mergeCell ref="N1079:Q1079"/>
    <mergeCell ref="F1112:G1112"/>
    <mergeCell ref="H1112:I1112"/>
    <mergeCell ref="J1112:M1112"/>
    <mergeCell ref="N1112:Q1112"/>
    <mergeCell ref="F1014:G1014"/>
    <mergeCell ref="H1014:I1014"/>
    <mergeCell ref="J1014:M1014"/>
    <mergeCell ref="N1014:Q1014"/>
    <mergeCell ref="F1047:G1047"/>
    <mergeCell ref="H1047:I1047"/>
    <mergeCell ref="J1047:M1047"/>
    <mergeCell ref="N1047:Q1047"/>
    <mergeCell ref="F949:G949"/>
    <mergeCell ref="H949:I949"/>
    <mergeCell ref="J949:M949"/>
    <mergeCell ref="N949:Q949"/>
    <mergeCell ref="F981:G981"/>
    <mergeCell ref="H981:I981"/>
    <mergeCell ref="J981:M981"/>
    <mergeCell ref="N981:Q981"/>
    <mergeCell ref="F884:G884"/>
    <mergeCell ref="H884:I884"/>
    <mergeCell ref="J884:M884"/>
    <mergeCell ref="N884:Q884"/>
    <mergeCell ref="F916:G916"/>
    <mergeCell ref="H916:I916"/>
    <mergeCell ref="J916:M916"/>
    <mergeCell ref="N916:Q916"/>
    <mergeCell ref="F818:G818"/>
    <mergeCell ref="H818:I818"/>
    <mergeCell ref="J818:M818"/>
    <mergeCell ref="N818:Q818"/>
    <mergeCell ref="F851:G851"/>
    <mergeCell ref="H851:I851"/>
    <mergeCell ref="J851:M851"/>
    <mergeCell ref="N851:Q851"/>
    <mergeCell ref="F753:G753"/>
    <mergeCell ref="H753:I753"/>
    <mergeCell ref="J753:M753"/>
    <mergeCell ref="N753:Q753"/>
    <mergeCell ref="F786:G786"/>
    <mergeCell ref="H786:I786"/>
    <mergeCell ref="J786:M786"/>
    <mergeCell ref="N786:Q786"/>
    <mergeCell ref="F688:G688"/>
    <mergeCell ref="H688:I688"/>
    <mergeCell ref="J688:M688"/>
    <mergeCell ref="N688:Q688"/>
    <mergeCell ref="F721:G721"/>
    <mergeCell ref="H721:I721"/>
    <mergeCell ref="J721:M721"/>
    <mergeCell ref="N721:Q721"/>
    <mergeCell ref="F624:G624"/>
    <mergeCell ref="H624:I624"/>
    <mergeCell ref="J624:M624"/>
    <mergeCell ref="N624:Q624"/>
    <mergeCell ref="F656:G656"/>
    <mergeCell ref="H656:I656"/>
    <mergeCell ref="J656:M656"/>
    <mergeCell ref="N656:Q656"/>
    <mergeCell ref="F559:G559"/>
    <mergeCell ref="H559:I559"/>
    <mergeCell ref="J559:M559"/>
    <mergeCell ref="N559:Q559"/>
    <mergeCell ref="F591:G591"/>
    <mergeCell ref="H591:I591"/>
    <mergeCell ref="J591:M591"/>
    <mergeCell ref="N591:Q591"/>
    <mergeCell ref="F493:G493"/>
    <mergeCell ref="H493:I493"/>
    <mergeCell ref="J493:M493"/>
    <mergeCell ref="N493:Q493"/>
    <mergeCell ref="F526:G526"/>
    <mergeCell ref="H526:I526"/>
    <mergeCell ref="J526:M526"/>
    <mergeCell ref="N526:Q526"/>
    <mergeCell ref="F428:G428"/>
    <mergeCell ref="H428:I428"/>
    <mergeCell ref="J428:M428"/>
    <mergeCell ref="N428:Q428"/>
    <mergeCell ref="F461:G461"/>
    <mergeCell ref="H461:I461"/>
    <mergeCell ref="J461:M461"/>
    <mergeCell ref="N461:Q461"/>
    <mergeCell ref="F363:G363"/>
    <mergeCell ref="H363:I363"/>
    <mergeCell ref="J363:M363"/>
    <mergeCell ref="N363:Q363"/>
    <mergeCell ref="F396:G396"/>
    <mergeCell ref="H396:I396"/>
    <mergeCell ref="J396:M396"/>
    <mergeCell ref="N396:Q396"/>
    <mergeCell ref="F298:G298"/>
    <mergeCell ref="H298:I298"/>
    <mergeCell ref="J298:M298"/>
    <mergeCell ref="N298:Q298"/>
    <mergeCell ref="F330:G330"/>
    <mergeCell ref="H330:I330"/>
    <mergeCell ref="J330:M330"/>
    <mergeCell ref="N330:Q330"/>
    <mergeCell ref="F233:G233"/>
    <mergeCell ref="H233:I233"/>
    <mergeCell ref="J233:M233"/>
    <mergeCell ref="N233:Q233"/>
    <mergeCell ref="F265:G265"/>
    <mergeCell ref="H265:I265"/>
    <mergeCell ref="J265:M265"/>
    <mergeCell ref="N265:Q265"/>
    <mergeCell ref="F168:G168"/>
    <mergeCell ref="H168:I168"/>
    <mergeCell ref="J168:M168"/>
    <mergeCell ref="N168:Q168"/>
    <mergeCell ref="F200:G200"/>
    <mergeCell ref="H200:I200"/>
    <mergeCell ref="J200:M200"/>
    <mergeCell ref="N200:Q200"/>
    <mergeCell ref="F71:G71"/>
    <mergeCell ref="H71:I71"/>
    <mergeCell ref="J71:M71"/>
    <mergeCell ref="N71:Q71"/>
    <mergeCell ref="N136:Q136"/>
    <mergeCell ref="J136:M136"/>
    <mergeCell ref="H136:I136"/>
    <mergeCell ref="F136:G136"/>
    <mergeCell ref="N103:Q103"/>
    <mergeCell ref="J103:M103"/>
    <mergeCell ref="H103:I103"/>
    <mergeCell ref="F103:G103"/>
    <mergeCell ref="F4:G4"/>
    <mergeCell ref="H4:I4"/>
    <mergeCell ref="J4:M4"/>
    <mergeCell ref="N4:Q4"/>
    <mergeCell ref="F38:G38"/>
    <mergeCell ref="H38:I38"/>
    <mergeCell ref="J38:M38"/>
    <mergeCell ref="N38:Q3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Tire List - Web Menu</vt:lpstr>
      <vt:lpstr>2. Master Tire Specs  </vt:lpstr>
      <vt:lpstr>3.Tire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2026-06-22T21:37:28Z</dcterms:modified>
</cp:coreProperties>
</file>